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ملخص" sheetId="1" state="visible" r:id="rId1"/>
    <sheet xmlns:r="http://schemas.openxmlformats.org/officeDocument/2006/relationships" name="طريقة الاستخدام" sheetId="2" state="visible" r:id="rId2"/>
    <sheet xmlns:r="http://schemas.openxmlformats.org/officeDocument/2006/relationships" name="المبيعات" sheetId="3" state="visible" r:id="rId3"/>
    <sheet xmlns:r="http://schemas.openxmlformats.org/officeDocument/2006/relationships" name="المالية وCRM" sheetId="4" state="visible" r:id="rId4"/>
    <sheet xmlns:r="http://schemas.openxmlformats.org/officeDocument/2006/relationships" name="المشاريع والخدمة" sheetId="5" state="visible" r:id="rId5"/>
    <sheet xmlns:r="http://schemas.openxmlformats.org/officeDocument/2006/relationships" name="المخزون والموارد البشرية" sheetId="6" state="visible" r:id="rId6"/>
    <sheet xmlns:r="http://schemas.openxmlformats.org/officeDocument/2006/relationships" name="الحسابات" sheetId="7" state="visible" r:id="rId7"/>
  </sheets>
  <definedNames>
    <definedName name="_xlnm._FilterDatabase" localSheetId="2" hidden="1">'المبيعات'!$A$1:$L$177</definedName>
    <definedName name="_xlnm._FilterDatabase" localSheetId="3" hidden="1">'المالية وCRM'!$A$1:$L$160</definedName>
    <definedName name="_xlnm._FilterDatabase" localSheetId="4" hidden="1">'المشاريع والخدمة'!$A$1:$L$164</definedName>
    <definedName name="_xlnm._FilterDatabase" localSheetId="5" hidden="1">'المخزون والموارد البشرية'!$A$1:$L$174</definedName>
    <definedName name="_xlnm._FilterDatabase" localSheetId="6" hidden="1">'الحسابات'!$A$1:$L$98</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font>
    <font>
      <name val="Arial"/>
      <sz val="10"/>
    </font>
    <font>
      <name val="Arial"/>
      <b val="1"/>
      <sz val="10"/>
    </font>
    <font>
      <name val="Arial"/>
      <b val="1"/>
      <color rgb="000D4A2E"/>
      <sz val="16"/>
    </font>
    <font>
      <name val="Arial"/>
      <i val="1"/>
      <color rgb="006B7570"/>
      <sz val="10"/>
    </font>
    <font>
      <name val="Arial"/>
      <sz val="11"/>
    </font>
    <font>
      <name val="Arial"/>
      <b val="1"/>
    </font>
    <font>
      <name val="Arial"/>
      <b val="1"/>
      <color rgb="00B91C1C"/>
    </font>
    <font>
      <name val="Arial"/>
      <b val="1"/>
      <color rgb="000D4A2E"/>
      <sz val="13"/>
    </font>
    <font>
      <name val="Arial"/>
      <color rgb="001D2722"/>
      <sz val="11"/>
    </font>
  </fonts>
  <fills count="4">
    <fill>
      <patternFill/>
    </fill>
    <fill>
      <patternFill patternType="gray125"/>
    </fill>
    <fill>
      <patternFill patternType="solid">
        <fgColor rgb="000D4A2E"/>
      </patternFill>
    </fill>
    <fill>
      <patternFill patternType="solid">
        <fgColor rgb="00F8F4EA"/>
      </patternFill>
    </fill>
  </fills>
  <borders count="2">
    <border>
      <left/>
      <right/>
      <top/>
      <bottom/>
      <diagonal/>
    </border>
    <border>
      <left style="thin">
        <color rgb="00E5E1D6"/>
      </left>
      <right style="thin">
        <color rgb="00E5E1D6"/>
      </right>
      <top style="thin">
        <color rgb="00E5E1D6"/>
      </top>
      <bottom style="thin">
        <color rgb="00E5E1D6"/>
      </bottom>
    </border>
  </borders>
  <cellStyleXfs count="1">
    <xf numFmtId="0" fontId="0" fillId="0" borderId="0"/>
  </cellStyleXfs>
  <cellXfs count="16">
    <xf numFmtId="0" fontId="0" fillId="0" borderId="0" pivotButton="0" quotePrefix="0" xfId="0"/>
    <xf numFmtId="0" fontId="4" fillId="0" borderId="0" pivotButton="0" quotePrefix="0" xfId="0"/>
    <xf numFmtId="0" fontId="5" fillId="0" borderId="0" pivotButton="0" quotePrefix="0" xfId="0"/>
    <xf numFmtId="0" fontId="1" fillId="2" borderId="1" applyAlignment="1" pivotButton="0" quotePrefix="0" xfId="0">
      <alignment horizontal="center" vertical="top" wrapText="1"/>
    </xf>
    <xf numFmtId="0" fontId="6" fillId="0" borderId="1" applyAlignment="1" pivotButton="0" quotePrefix="0" xfId="0">
      <alignment horizontal="right" vertical="top" wrapText="1" readingOrder="2"/>
    </xf>
    <xf numFmtId="0" fontId="6" fillId="0" borderId="1" applyAlignment="1" pivotButton="0" quotePrefix="0" xfId="0">
      <alignment horizontal="center" vertical="top" wrapText="1"/>
    </xf>
    <xf numFmtId="9" fontId="6" fillId="0" borderId="1" applyAlignment="1" pivotButton="0" quotePrefix="0" xfId="0">
      <alignment horizontal="center" vertical="top" wrapText="1"/>
    </xf>
    <xf numFmtId="0" fontId="7" fillId="0" borderId="0" pivotButton="0" quotePrefix="0" xfId="0"/>
    <xf numFmtId="0" fontId="7" fillId="3" borderId="1" applyAlignment="1" pivotButton="0" quotePrefix="0" xfId="0">
      <alignment horizontal="center" vertical="top" wrapText="1"/>
    </xf>
    <xf numFmtId="9" fontId="7" fillId="3" borderId="1" applyAlignment="1" pivotButton="0" quotePrefix="0" xfId="0">
      <alignment horizontal="center" vertical="top" wrapText="1"/>
    </xf>
    <xf numFmtId="0" fontId="8" fillId="0" borderId="0" pivotButton="0" quotePrefix="0" xfId="0"/>
    <xf numFmtId="0" fontId="9" fillId="0" borderId="0" applyAlignment="1" pivotButton="0" quotePrefix="0" xfId="0">
      <alignment horizontal="right" wrapText="1" readingOrder="2"/>
    </xf>
    <xf numFmtId="0" fontId="10" fillId="0" borderId="0" applyAlignment="1" pivotButton="0" quotePrefix="0" xfId="0">
      <alignment horizontal="right" wrapText="1" readingOrder="2"/>
    </xf>
    <xf numFmtId="0" fontId="2" fillId="0" borderId="1" applyAlignment="1" pivotButton="0" quotePrefix="0" xfId="0">
      <alignment horizontal="center" vertical="top" wrapText="1"/>
    </xf>
    <xf numFmtId="0" fontId="2" fillId="0" borderId="1" applyAlignment="1" pivotButton="0" quotePrefix="0" xfId="0">
      <alignment horizontal="right" vertical="top" wrapText="1" readingOrder="2"/>
    </xf>
    <xf numFmtId="0" fontId="3" fillId="0" borderId="1" applyAlignment="1" pivotButton="0" quotePrefix="0" xfId="0">
      <alignment horizontal="right" vertical="top" wrapText="1" readingOrder="2"/>
    </xf>
  </cellXfs>
  <cellStyles count="1">
    <cellStyle name="Normal" xfId="0" builtinId="0" hidden="0"/>
  </cellStyles>
  <dxfs count="4">
    <dxf>
      <fill>
        <patternFill patternType="solid">
          <fgColor rgb="00D1FAE5"/>
        </patternFill>
      </fill>
    </dxf>
    <dxf>
      <fill>
        <patternFill patternType="solid">
          <fgColor rgb="00FFE4E6"/>
        </patternFill>
      </fill>
    </dxf>
    <dxf>
      <fill>
        <patternFill patternType="solid">
          <fgColor rgb="00FEF3C7"/>
        </patternFill>
      </fill>
    </dxf>
    <dxf>
      <font>
        <name val="Arial"/>
        <b val="1"/>
        <color rgb="00B91C1C"/>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rightToLeft="1" workbookViewId="0">
      <selection activeCell="A1" sqref="A1"/>
    </sheetView>
  </sheetViews>
  <sheetFormatPr baseColWidth="8" defaultRowHeight="15"/>
  <cols>
    <col width="24" customWidth="1" min="1" max="1"/>
    <col width="44" customWidth="1" min="2" max="2"/>
    <col width="12" customWidth="1" min="3" max="3"/>
    <col width="10" customWidth="1" min="4" max="4"/>
    <col width="10" customWidth="1" min="5" max="5"/>
    <col width="10" customWidth="1" min="6" max="6"/>
    <col width="10" customWidth="1" min="7" max="7"/>
    <col width="12" customWidth="1" min="8" max="8"/>
    <col width="12" customWidth="1" min="9" max="9"/>
    <col width="11" customWidth="1" min="10" max="10"/>
  </cols>
  <sheetData>
    <row r="1">
      <c r="A1" s="1" t="inlineStr">
        <is>
          <t>حالات اختبار منصة المدى المبارك (MMC Core)</t>
        </is>
      </c>
    </row>
    <row r="2">
      <c r="A2" s="2" t="inlineStr">
        <is>
          <t>تتحدّث الأرقام تلقائيًا من عمود «الحالة» في كل ورقة.</t>
        </is>
      </c>
    </row>
    <row r="4">
      <c r="A4" s="3" t="inlineStr">
        <is>
          <t>الورقة</t>
        </is>
      </c>
      <c r="B4" s="3" t="inlineStr">
        <is>
          <t>المجال</t>
        </is>
      </c>
      <c r="C4" s="3" t="inlineStr">
        <is>
          <t>عدد الحالات</t>
        </is>
      </c>
      <c r="D4" s="3" t="inlineStr">
        <is>
          <t>منها P1</t>
        </is>
      </c>
      <c r="E4" s="3" t="inlineStr">
        <is>
          <t>ناجح</t>
        </is>
      </c>
      <c r="F4" s="3" t="inlineStr">
        <is>
          <t>فاشل</t>
        </is>
      </c>
      <c r="G4" s="3" t="inlineStr">
        <is>
          <t>محجوب</t>
        </is>
      </c>
      <c r="H4" s="3" t="inlineStr">
        <is>
          <t>لم يُختبر</t>
        </is>
      </c>
      <c r="I4" s="3" t="inlineStr">
        <is>
          <t>نسبة النجاح</t>
        </is>
      </c>
      <c r="J4" s="3" t="inlineStr">
        <is>
          <t>P1 فاشلة</t>
        </is>
      </c>
    </row>
    <row r="5">
      <c r="A5" s="4" t="inlineStr">
        <is>
          <t>المبيعات</t>
        </is>
      </c>
      <c r="B5" s="4" t="inlineStr">
        <is>
          <t>المبيعات والدخول</t>
        </is>
      </c>
      <c r="C5" s="5">
        <f>COUNTA('المبيعات'!A2:A177)</f>
        <v/>
      </c>
      <c r="D5" s="5">
        <f>COUNTIF('المبيعات'!G2:G177,"P1")</f>
        <v/>
      </c>
      <c r="E5" s="5">
        <f>COUNTIF('المبيعات'!I2:I177,"ناجح")</f>
        <v/>
      </c>
      <c r="F5" s="5">
        <f>COUNTIF('المبيعات'!I2:I177,"فاشل")</f>
        <v/>
      </c>
      <c r="G5" s="5">
        <f>COUNTIF('المبيعات'!I2:I177,"محجوب")</f>
        <v/>
      </c>
      <c r="H5" s="5">
        <f>COUNTIF('المبيعات'!I2:I177,"لم يُختبر")</f>
        <v/>
      </c>
      <c r="I5" s="6">
        <f>IF(C5=0,0,E5/C5)</f>
        <v/>
      </c>
      <c r="J5" s="5">
        <f>COUNTIFS('المبيعات'!G2:G177,"P1",'المبيعات'!I2:I177,"فاشل")</f>
        <v/>
      </c>
    </row>
    <row r="6">
      <c r="A6" s="4" t="inlineStr">
        <is>
          <t>المالية وCRM</t>
        </is>
      </c>
      <c r="B6" s="4" t="inlineStr">
        <is>
          <t>المالية والعملاء المحتملون</t>
        </is>
      </c>
      <c r="C6" s="5">
        <f>COUNTA('المالية وCRM'!A2:A160)</f>
        <v/>
      </c>
      <c r="D6" s="5">
        <f>COUNTIF('المالية وCRM'!G2:G160,"P1")</f>
        <v/>
      </c>
      <c r="E6" s="5">
        <f>COUNTIF('المالية وCRM'!I2:I160,"ناجح")</f>
        <v/>
      </c>
      <c r="F6" s="5">
        <f>COUNTIF('المالية وCRM'!I2:I160,"فاشل")</f>
        <v/>
      </c>
      <c r="G6" s="5">
        <f>COUNTIF('المالية وCRM'!I2:I160,"محجوب")</f>
        <v/>
      </c>
      <c r="H6" s="5">
        <f>COUNTIF('المالية وCRM'!I2:I160,"لم يُختبر")</f>
        <v/>
      </c>
      <c r="I6" s="6">
        <f>IF(C6=0,0,E6/C6)</f>
        <v/>
      </c>
      <c r="J6" s="5">
        <f>COUNTIFS('المالية وCRM'!G2:G160,"P1",'المالية وCRM'!I2:I160,"فاشل")</f>
        <v/>
      </c>
    </row>
    <row r="7">
      <c r="A7" s="4" t="inlineStr">
        <is>
          <t>المشاريع والخدمة</t>
        </is>
      </c>
      <c r="B7" s="4" t="inlineStr">
        <is>
          <t>المشاريع والخدمة</t>
        </is>
      </c>
      <c r="C7" s="5">
        <f>COUNTA('المشاريع والخدمة'!A2:A164)</f>
        <v/>
      </c>
      <c r="D7" s="5">
        <f>COUNTIF('المشاريع والخدمة'!G2:G164,"P1")</f>
        <v/>
      </c>
      <c r="E7" s="5">
        <f>COUNTIF('المشاريع والخدمة'!I2:I164,"ناجح")</f>
        <v/>
      </c>
      <c r="F7" s="5">
        <f>COUNTIF('المشاريع والخدمة'!I2:I164,"فاشل")</f>
        <v/>
      </c>
      <c r="G7" s="5">
        <f>COUNTIF('المشاريع والخدمة'!I2:I164,"محجوب")</f>
        <v/>
      </c>
      <c r="H7" s="5">
        <f>COUNTIF('المشاريع والخدمة'!I2:I164,"لم يُختبر")</f>
        <v/>
      </c>
      <c r="I7" s="6">
        <f>IF(C7=0,0,E7/C7)</f>
        <v/>
      </c>
      <c r="J7" s="5">
        <f>COUNTIFS('المشاريع والخدمة'!G2:G164,"P1",'المشاريع والخدمة'!I2:I164,"فاشل")</f>
        <v/>
      </c>
    </row>
    <row r="8">
      <c r="A8" s="4" t="inlineStr">
        <is>
          <t>المخزون والموارد البشرية</t>
        </is>
      </c>
      <c r="B8" s="4" t="inlineStr">
        <is>
          <t>المشتريات والمخزون والموارد البشرية والإعدادات</t>
        </is>
      </c>
      <c r="C8" s="5">
        <f>COUNTA('المخزون والموارد البشرية'!A2:A174)</f>
        <v/>
      </c>
      <c r="D8" s="5">
        <f>COUNTIF('المخزون والموارد البشرية'!G2:G174,"P1")</f>
        <v/>
      </c>
      <c r="E8" s="5">
        <f>COUNTIF('المخزون والموارد البشرية'!I2:I174,"ناجح")</f>
        <v/>
      </c>
      <c r="F8" s="5">
        <f>COUNTIF('المخزون والموارد البشرية'!I2:I174,"فاشل")</f>
        <v/>
      </c>
      <c r="G8" s="5">
        <f>COUNTIF('المخزون والموارد البشرية'!I2:I174,"محجوب")</f>
        <v/>
      </c>
      <c r="H8" s="5">
        <f>COUNTIF('المخزون والموارد البشرية'!I2:I174,"لم يُختبر")</f>
        <v/>
      </c>
      <c r="I8" s="6">
        <f>IF(C8=0,0,E8/C8)</f>
        <v/>
      </c>
      <c r="J8" s="5">
        <f>COUNTIFS('المخزون والموارد البشرية'!G2:G174,"P1",'المخزون والموارد البشرية'!I2:I174,"فاشل")</f>
        <v/>
      </c>
    </row>
    <row r="9">
      <c r="A9" s="4" t="inlineStr">
        <is>
          <t>الحسابات</t>
        </is>
      </c>
      <c r="B9" s="4" t="inlineStr">
        <is>
          <t>دفتر الأستاذ والقيود والترحيل التلقائي والضريبة والإقفال والفوترة الإلكترونية</t>
        </is>
      </c>
      <c r="C9" s="5">
        <f>COUNTA('الحسابات'!A2:A98)</f>
        <v/>
      </c>
      <c r="D9" s="5">
        <f>COUNTIF('الحسابات'!G2:G98,"P1")</f>
        <v/>
      </c>
      <c r="E9" s="5">
        <f>COUNTIF('الحسابات'!I2:I98,"ناجح")</f>
        <v/>
      </c>
      <c r="F9" s="5">
        <f>COUNTIF('الحسابات'!I2:I98,"فاشل")</f>
        <v/>
      </c>
      <c r="G9" s="5">
        <f>COUNTIF('الحسابات'!I2:I98,"محجوب")</f>
        <v/>
      </c>
      <c r="H9" s="5">
        <f>COUNTIF('الحسابات'!I2:I98,"لم يُختبر")</f>
        <v/>
      </c>
      <c r="I9" s="6">
        <f>IF(C9=0,0,E9/C9)</f>
        <v/>
      </c>
      <c r="J9" s="5">
        <f>COUNTIFS('الحسابات'!G2:G98,"P1",'الحسابات'!I2:I98,"فاشل")</f>
        <v/>
      </c>
    </row>
    <row r="10">
      <c r="A10" s="7" t="inlineStr">
        <is>
          <t>الإجمالي</t>
        </is>
      </c>
      <c r="C10" s="8">
        <f>SUM(C5:C9)</f>
        <v/>
      </c>
      <c r="D10" s="8">
        <f>SUM(D5:D9)</f>
        <v/>
      </c>
      <c r="E10" s="8">
        <f>SUM(E5:E9)</f>
        <v/>
      </c>
      <c r="F10" s="8">
        <f>SUM(F5:F9)</f>
        <v/>
      </c>
      <c r="G10" s="8">
        <f>SUM(G5:G9)</f>
        <v/>
      </c>
      <c r="H10" s="8">
        <f>SUM(H5:H9)</f>
        <v/>
      </c>
      <c r="I10" s="9">
        <f>IF(C10=0,0,E10/C10)</f>
        <v/>
      </c>
      <c r="J10" s="8">
        <f>SUM(J5:J9)</f>
        <v/>
      </c>
    </row>
    <row r="11"/>
    <row r="12">
      <c r="A12" s="10" t="inlineStr">
        <is>
          <t>قاعدة الإطلاق: لا تشغيل فعلي قبل أن تكون كل حالات P1 «ناجح» (عمود «P1 فاشلة» = 0 ولا P1 «لم يُختبر»).</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rightToLeft="1" workbookViewId="0">
      <selection activeCell="A1" sqref="A1"/>
    </sheetView>
  </sheetViews>
  <sheetFormatPr baseColWidth="8" defaultRowHeight="15"/>
  <cols>
    <col width="120" customWidth="1" min="1" max="1"/>
  </cols>
  <sheetData>
    <row r="1">
      <c r="A1" s="11" t="inlineStr">
        <is>
          <t>طريقة الاستخدام</t>
        </is>
      </c>
    </row>
    <row r="2">
      <c r="A2" s="12" t="inlineStr">
        <is>
          <t>1. كل ورقة تغطي مجالًا من المنصة، وكل صف حالة اختبار برقم ثابت (مثل TC-D-014) — استخدم الرقم عند الإبلاغ عن مشكلة.</t>
        </is>
      </c>
    </row>
    <row r="3">
      <c r="A3" s="12" t="inlineStr">
        <is>
          <t>2. نفّذ الخطوات بالدور المذكور في «الشروط المسبقة»، ثم قارن بالنتيجة المتوقعة.</t>
        </is>
      </c>
    </row>
    <row r="4">
      <c r="A4" s="12" t="inlineStr">
        <is>
          <t>3. اختر الحالة من القائمة في عمود «الحالة»: ناجح / فاشل / محجوب (لا يمكن تنفيذها الآن) / لم يُختبر. يتلوّن الصف تلقائيًا.</t>
        </is>
      </c>
    </row>
    <row r="5">
      <c r="A5" s="12" t="inlineStr">
        <is>
          <t>4. اكتب اسمك وتاريخ الاختبار، وفي «ملاحظات» صف ما حدث فعلًا أو رقم البلاغ.</t>
        </is>
      </c>
    </row>
    <row r="6">
      <c r="A6" s="12" t="inlineStr">
        <is>
          <t>5. استخدم عامل التصفية في الصف الأول لعرض وحدة أو أولوية أو حالة معيّنة.</t>
        </is>
      </c>
    </row>
    <row r="7">
      <c r="A7" s="12" t="inlineStr"/>
    </row>
    <row r="8">
      <c r="A8" s="11" t="inlineStr">
        <is>
          <t>الأولويات</t>
        </is>
      </c>
    </row>
    <row r="9">
      <c r="A9" s="12" t="inlineStr">
        <is>
          <t>P1 — ضروري قبل التشغيل الفعلي (أموال، صلاحيات، أمان، ترقيم، سلامة البيانات).</t>
        </is>
      </c>
    </row>
    <row r="10">
      <c r="A10" s="12" t="inlineStr">
        <is>
          <t>P2 — مهم للعمل اليومي.</t>
        </is>
      </c>
    </row>
    <row r="11">
      <c r="A11" s="12" t="inlineStr">
        <is>
          <t>P3 — تحسينات وحالات نادرة.</t>
        </is>
      </c>
    </row>
    <row r="12">
      <c r="A12" s="12" t="inlineStr"/>
    </row>
    <row r="13">
      <c r="A13" s="11" t="inlineStr">
        <is>
          <t>ملاحظات</t>
        </is>
      </c>
    </row>
    <row r="14">
      <c r="A14" s="12" t="inlineStr">
        <is>
          <t>• بيئة الاختبار الحالية تعمل بوضع المحاكاة: واتساب والبريد والدفع والتوقيع الإلكتروني والنظام المحاسبي (FakeBackOffice) غير حقيقية — الحالات التي تحتاجها تُختبر على شكل المحاكاة أو تُعلَّم «محجوب».</t>
        </is>
      </c>
    </row>
    <row r="15">
      <c r="A15" s="12" t="inlineStr">
        <is>
          <t>• مثال صف مكتمل: الحالة «فاشل»، المختبِر «أحمد»، التاريخ 2026-10-09، الملاحظات «يظهر سعر التكلفة في الرابط العام — بلاغ #12».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77"/>
  <sheetViews>
    <sheetView rightToLeft="1"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8" customWidth="1" min="2" max="2"/>
    <col width="38" customWidth="1" min="3" max="3"/>
    <col width="28" customWidth="1" min="4" max="4"/>
    <col width="52" customWidth="1" min="5" max="5"/>
    <col width="46" customWidth="1" min="6" max="6"/>
    <col width="9" customWidth="1" min="7" max="7"/>
    <col width="14" customWidth="1" min="8" max="8"/>
    <col width="12" customWidth="1" min="9" max="9"/>
    <col width="14" customWidth="1" min="10" max="10"/>
    <col width="13" customWidth="1" min="11" max="11"/>
    <col width="30" customWidth="1" min="12" max="12"/>
  </cols>
  <sheetData>
    <row r="1">
      <c r="A1" s="3" t="inlineStr">
        <is>
          <t>الرقم</t>
        </is>
      </c>
      <c r="B1" s="3" t="inlineStr">
        <is>
          <t>الوحدة</t>
        </is>
      </c>
      <c r="C1" s="3" t="inlineStr">
        <is>
          <t>السيناريو</t>
        </is>
      </c>
      <c r="D1" s="3" t="inlineStr">
        <is>
          <t>الشروط المسبقة / الدور</t>
        </is>
      </c>
      <c r="E1" s="3" t="inlineStr">
        <is>
          <t>الخطوات</t>
        </is>
      </c>
      <c r="F1" s="3" t="inlineStr">
        <is>
          <t>النتيجة المتوقعة</t>
        </is>
      </c>
      <c r="G1" s="3" t="inlineStr">
        <is>
          <t>الأولوية</t>
        </is>
      </c>
      <c r="H1" s="3" t="inlineStr">
        <is>
          <t>النوع</t>
        </is>
      </c>
      <c r="I1" s="3" t="inlineStr">
        <is>
          <t>الحالة</t>
        </is>
      </c>
      <c r="J1" s="3" t="inlineStr">
        <is>
          <t>المختبِر</t>
        </is>
      </c>
      <c r="K1" s="3" t="inlineStr">
        <is>
          <t>تاريخ الاختبار</t>
        </is>
      </c>
      <c r="L1" s="3" t="inlineStr">
        <is>
          <t>ملاحظات / رقم البلاغ</t>
        </is>
      </c>
    </row>
    <row r="2">
      <c r="A2" s="13" t="inlineStr">
        <is>
          <t>TC-A-001</t>
        </is>
      </c>
      <c r="B2" s="14" t="inlineStr">
        <is>
          <t>الدخول والحسابات</t>
        </is>
      </c>
      <c r="C2" s="15" t="inlineStr">
        <is>
          <t>تفعيل حساب مدعو بكلمة مرور وتأكيد البريد</t>
        </is>
      </c>
      <c r="D2" s="14" t="inlineStr">
        <is>
          <t>المالك دعا بريدًا جديدًا من الإعدادات ← المستخدمون (حالة invited)؛ SMTP غير مضبوط (وضع التجربة)</t>
        </is>
      </c>
      <c r="E2" s="14" t="inlineStr">
        <is>
          <t>1. افتح /login واضغط «فعّل حسابك»
2. أدخل البريد المدعو وكلمة مرور من 12 حرفًا
3. انسخ رابط التأكيد من سجل الخادم [auth-mail:sandbox]
4. افتح الرابط</t>
        </is>
      </c>
      <c r="F2" s="14" t="inlineStr">
        <is>
          <t>لا يُسجَّل الدخول قبل تأكيد البريد (autoSignIn=false)؛ بعد فتح الرابط يُسجَّل الدخول تلقائيًا، تتحول حالة app_user إلى active ويُربط authUserId، ويُسجَّل login_event بنتيجة success</t>
        </is>
      </c>
      <c r="G2" s="13" t="inlineStr">
        <is>
          <t>P1</t>
        </is>
      </c>
      <c r="H2" s="14" t="inlineStr">
        <is>
          <t>وظيفي</t>
        </is>
      </c>
      <c r="I2" s="13" t="inlineStr">
        <is>
          <t>لم يُختبر</t>
        </is>
      </c>
      <c r="J2" s="14" t="inlineStr"/>
      <c r="K2" s="13" t="inlineStr"/>
      <c r="L2" s="14" t="inlineStr"/>
    </row>
    <row r="3">
      <c r="A3" s="13" t="inlineStr">
        <is>
          <t>TC-A-002</t>
        </is>
      </c>
      <c r="B3" s="14" t="inlineStr">
        <is>
          <t>الدخول والحسابات</t>
        </is>
      </c>
      <c r="C3" s="15" t="inlineStr">
        <is>
          <t>رفض التسجيل لبريد غير مدعو</t>
        </is>
      </c>
      <c r="D3" s="14" t="inlineStr">
        <is>
          <t>بريد غير موجود في app_user</t>
        </is>
      </c>
      <c r="E3" s="14" t="inlineStr">
        <is>
          <t>1. من /login اختر «فعّل حسابك»
2. أدخل بريدًا غير مدعو وكلمة مرور صالحة
3. أرسل</t>
        </is>
      </c>
      <c r="F3" s="14" t="inlineStr">
        <is>
          <t>رفض FORBIDDEN برسالة «هذا البريد غير مدعو إلى النظام — اطلب دعوة من المسؤول / This e-mail has not been invited»، ولا يُنشأ auth_user</t>
        </is>
      </c>
      <c r="G3" s="13" t="inlineStr">
        <is>
          <t>P1</t>
        </is>
      </c>
      <c r="H3" s="14" t="inlineStr">
        <is>
          <t>أمان</t>
        </is>
      </c>
      <c r="I3" s="13" t="inlineStr">
        <is>
          <t>لم يُختبر</t>
        </is>
      </c>
      <c r="J3" s="14" t="inlineStr"/>
      <c r="K3" s="13" t="inlineStr"/>
      <c r="L3" s="14" t="inlineStr"/>
    </row>
    <row r="4">
      <c r="A4" s="13" t="inlineStr">
        <is>
          <t>TC-A-003</t>
        </is>
      </c>
      <c r="B4" s="14" t="inlineStr">
        <is>
          <t>الدخول والحسابات</t>
        </is>
      </c>
      <c r="C4" s="15" t="inlineStr">
        <is>
          <t>حساب مُسجَّل دون تأكيد البريد لا يستطيع الدخول</t>
        </is>
      </c>
      <c r="D4" s="14" t="inlineStr">
        <is>
          <t>مستخدم سجّل بكلمة مرور ولم يفتح رابط التأكيد</t>
        </is>
      </c>
      <c r="E4" s="14" t="inlineStr">
        <is>
          <t>1. حاول الدخول بالبريد وكلمة المرور</t>
        </is>
      </c>
      <c r="F4" s="14" t="inlineStr">
        <is>
          <t>يُرفض الدخول ويُطلب تأكيد البريد (requireEmailVerification)؛ لا تُنشأ جلسة</t>
        </is>
      </c>
      <c r="G4" s="13" t="inlineStr">
        <is>
          <t>P1</t>
        </is>
      </c>
      <c r="H4" s="14" t="inlineStr">
        <is>
          <t>أمان</t>
        </is>
      </c>
      <c r="I4" s="13" t="inlineStr">
        <is>
          <t>لم يُختبر</t>
        </is>
      </c>
      <c r="J4" s="14" t="inlineStr"/>
      <c r="K4" s="13" t="inlineStr"/>
      <c r="L4" s="14" t="inlineStr"/>
    </row>
    <row r="5">
      <c r="A5" s="13" t="inlineStr">
        <is>
          <t>TC-A-004</t>
        </is>
      </c>
      <c r="B5" s="14" t="inlineStr">
        <is>
          <t>الدخول والحسابات</t>
        </is>
      </c>
      <c r="C5" s="15" t="inlineStr">
        <is>
          <t>إيقاف الدخول بعد محاولات خاطئة متكررة (حد المعدل)</t>
        </is>
      </c>
      <c r="D5" s="14" t="inlineStr">
        <is>
          <t>مستخدم نشط</t>
        </is>
      </c>
      <c r="E5" s="14" t="inlineStr">
        <is>
          <t>1. أدخل كلمة مرور خاطئة 6 مرات خلال دقيقة واحدة لنفس النقطة /api/auth/sign-in/email</t>
        </is>
      </c>
      <c r="F5" s="14" t="inlineStr">
        <is>
          <t>بعد 5 محاولات خلال 60 ثانية تُرفض المحاولة التالية بخطأ 429 (Too many requests) حتى انقضاء النافذة، ثم يعمل الدخول بكلمة المرور الصحيحة</t>
        </is>
      </c>
      <c r="G5" s="13" t="inlineStr">
        <is>
          <t>P1</t>
        </is>
      </c>
      <c r="H5" s="14" t="inlineStr">
        <is>
          <t>أمان</t>
        </is>
      </c>
      <c r="I5" s="13" t="inlineStr">
        <is>
          <t>لم يُختبر</t>
        </is>
      </c>
      <c r="J5" s="14" t="inlineStr"/>
      <c r="K5" s="13" t="inlineStr"/>
      <c r="L5" s="14" t="inlineStr"/>
    </row>
    <row r="6">
      <c r="A6" s="13" t="inlineStr">
        <is>
          <t>TC-A-005</t>
        </is>
      </c>
      <c r="B6" s="14" t="inlineStr">
        <is>
          <t>الدخول والحسابات</t>
        </is>
      </c>
      <c r="C6" s="15" t="inlineStr">
        <is>
          <t>حد محاولات رمز التحقق بخطوتين</t>
        </is>
      </c>
      <c r="D6" s="14" t="inlineStr">
        <is>
          <t>مستخدم فعّل TOTP</t>
        </is>
      </c>
      <c r="E6" s="14" t="inlineStr">
        <is>
          <t>1. أدخل البريد وكلمة المرور الصحيحين
2. أدخل رمز TOTP خاطئًا 6 مرات خلال دقيقة</t>
        </is>
      </c>
      <c r="F6" s="14" t="inlineStr">
        <is>
          <t>بعد 5 محاولات تُرفض /two-factor/verify-totp بـ 429؛ لا تُنشأ جلسة إلا برمز صحيح</t>
        </is>
      </c>
      <c r="G6" s="13" t="inlineStr">
        <is>
          <t>P1</t>
        </is>
      </c>
      <c r="H6" s="14" t="inlineStr">
        <is>
          <t>أمان</t>
        </is>
      </c>
      <c r="I6" s="13" t="inlineStr">
        <is>
          <t>لم يُختبر</t>
        </is>
      </c>
      <c r="J6" s="14" t="inlineStr"/>
      <c r="K6" s="13" t="inlineStr"/>
      <c r="L6" s="14" t="inlineStr"/>
    </row>
    <row r="7">
      <c r="A7" s="13" t="inlineStr">
        <is>
          <t>TC-A-006</t>
        </is>
      </c>
      <c r="B7" s="14" t="inlineStr">
        <is>
          <t>الدخول والحسابات</t>
        </is>
      </c>
      <c r="C7" s="15" t="inlineStr">
        <is>
          <t>تفعيل التحقق بخطوتين من «أمان حسابي»</t>
        </is>
      </c>
      <c r="D7" s="14" t="inlineStr">
        <is>
          <t>مستخدم نشط بكلمة مرور</t>
        </is>
      </c>
      <c r="E7" s="14" t="inlineStr">
        <is>
          <t>1. الإعدادات ← أمان حسابي ← تفعيل التحقق بخطوتين
2. امسح رمز QR بتطبيق المصادقة (المُصدر MMC Core)
3. أدخل الرمز للتأكيد
4. اخرج وادخل مجددًا</t>
        </is>
      </c>
      <c r="F7" s="14" t="inlineStr">
        <is>
          <t>يُفعَّل twoFactorEnabled؛ عند الدخول التالي يُحوَّل المستخدم لشاشة إدخال الرمز (twoFactorRedirect) ولا يدخل دونه</t>
        </is>
      </c>
      <c r="G7" s="13" t="inlineStr">
        <is>
          <t>P1</t>
        </is>
      </c>
      <c r="H7" s="14" t="inlineStr">
        <is>
          <t>وظيفي</t>
        </is>
      </c>
      <c r="I7" s="13" t="inlineStr">
        <is>
          <t>لم يُختبر</t>
        </is>
      </c>
      <c r="J7" s="14" t="inlineStr"/>
      <c r="K7" s="13" t="inlineStr"/>
      <c r="L7" s="14" t="inlineStr"/>
    </row>
    <row r="8">
      <c r="A8" s="13" t="inlineStr">
        <is>
          <t>TC-A-007</t>
        </is>
      </c>
      <c r="B8" s="14" t="inlineStr">
        <is>
          <t>الدخول والحسابات</t>
        </is>
      </c>
      <c r="C8" s="15" t="inlineStr">
        <is>
          <t>فرض MFA للأدوار المميزة (MFA_ENFORCE=true)</t>
        </is>
      </c>
      <c r="D8" s="14" t="inlineStr">
        <is>
          <t>MFA_ENFORCE=true؛ مستخدم بدور accountant دون TOTP أو مفتاح مرور</t>
        </is>
      </c>
      <c r="E8" s="14" t="inlineStr">
        <is>
          <t>1. ادخل بكلمة المرور
2. افتح /quotes أو استدعِ GET /api/quotes
3. افتح أمان حسابي (/api/me)</t>
        </is>
      </c>
      <c r="F8" s="14" t="inlineStr">
        <is>
          <t>كل نقاط API عدا /api/me تُرجع 403 «two-factor authentication or a passkey is required for your role»؛ صفحة الأمان تعمل لتفعيل MFA، وبعد التفعيل تُفتح بقية الصفحات</t>
        </is>
      </c>
      <c r="G8" s="13" t="inlineStr">
        <is>
          <t>P1</t>
        </is>
      </c>
      <c r="H8" s="14" t="inlineStr">
        <is>
          <t>صلاحيات</t>
        </is>
      </c>
      <c r="I8" s="13" t="inlineStr">
        <is>
          <t>لم يُختبر</t>
        </is>
      </c>
      <c r="J8" s="14" t="inlineStr"/>
      <c r="K8" s="13" t="inlineStr"/>
      <c r="L8" s="14" t="inlineStr"/>
    </row>
    <row r="9">
      <c r="A9" s="13" t="inlineStr">
        <is>
          <t>TC-A-008</t>
        </is>
      </c>
      <c r="B9" s="14" t="inlineStr">
        <is>
          <t>الدخول والحسابات</t>
        </is>
      </c>
      <c r="C9" s="15" t="inlineStr">
        <is>
          <t>تسجيل الخروج ينهي الجلسة</t>
        </is>
      </c>
      <c r="D9" s="14" t="inlineStr">
        <is>
          <t>مستخدم مسجّل</t>
        </is>
      </c>
      <c r="E9" s="14" t="inlineStr">
        <is>
          <t>1. اضغط تسجيل الخروج
2. اضغط زر الرجوع في المتصفح
3. استدعِ GET /api/quotes بالكوكي القديم</t>
        </is>
      </c>
      <c r="F9" s="14" t="inlineStr">
        <is>
          <t>لا تظهر بيانات بعد الرجوع؛ الطلب يُرجع 401 لأن الجلسة حُذفت</t>
        </is>
      </c>
      <c r="G9" s="13" t="inlineStr">
        <is>
          <t>P1</t>
        </is>
      </c>
      <c r="H9" s="14" t="inlineStr">
        <is>
          <t>أمان</t>
        </is>
      </c>
      <c r="I9" s="13" t="inlineStr">
        <is>
          <t>لم يُختبر</t>
        </is>
      </c>
      <c r="J9" s="14" t="inlineStr"/>
      <c r="K9" s="13" t="inlineStr"/>
      <c r="L9" s="14" t="inlineStr"/>
    </row>
    <row r="10">
      <c r="A10" s="13" t="inlineStr">
        <is>
          <t>TC-A-009</t>
        </is>
      </c>
      <c r="B10" s="14" t="inlineStr">
        <is>
          <t>الدخول والحسابات</t>
        </is>
      </c>
      <c r="C10" s="15" t="inlineStr">
        <is>
          <t>إيقاف مستخدم ينهي جلساته فورًا</t>
        </is>
      </c>
      <c r="D10" s="14" t="inlineStr">
        <is>
          <t>مالك + مندوب مسجّل الدخول في متصفح آخر</t>
        </is>
      </c>
      <c r="E10" s="14" t="inlineStr">
        <is>
          <t>1. المالك: الإعدادات ← المستخدمون ← إيقاف المندوب (status=suspended)
2. المندوب: حدّث أي صفحة
3. المندوب: حاول الدخول مجددًا (بكلمة المرور أو Google)</t>
        </is>
      </c>
      <c r="F10" s="14" t="inlineStr">
        <is>
          <t>تُحذف جلسات المندوب ويُعاد إلى /login؛ الدخول التالي يُرفض «الحساب غير مفعل / Account is not active»؛ يُسجَّل audit بإجراء suspend</t>
        </is>
      </c>
      <c r="G10" s="13" t="inlineStr">
        <is>
          <t>P1</t>
        </is>
      </c>
      <c r="H10" s="14" t="inlineStr">
        <is>
          <t>أمان</t>
        </is>
      </c>
      <c r="I10" s="13" t="inlineStr">
        <is>
          <t>لم يُختبر</t>
        </is>
      </c>
      <c r="J10" s="14" t="inlineStr"/>
      <c r="K10" s="13" t="inlineStr"/>
      <c r="L10" s="14" t="inlineStr"/>
    </row>
    <row r="11">
      <c r="A11" s="13" t="inlineStr">
        <is>
          <t>TC-A-010</t>
        </is>
      </c>
      <c r="B11" s="14" t="inlineStr">
        <is>
          <t>الدخول والحسابات</t>
        </is>
      </c>
      <c r="C11" s="15" t="inlineStr">
        <is>
          <t>منع المالك من إيقاف نفسه ومن إزالة آخر مالك</t>
        </is>
      </c>
      <c r="D11" s="14" t="inlineStr">
        <is>
          <t>مالك واحد فقط في المنشأة</t>
        </is>
      </c>
      <c r="E11" s="14" t="inlineStr">
        <is>
          <t>1. PUT /api/users/{ownId} بـ status=suspended
2. PUT /api/users/{ownId} بـ roleKeys دون owner</t>
        </is>
      </c>
      <c r="F11" s="14" t="inlineStr">
        <is>
          <t>الأول 400 «you cannot suspend yourself»؛ الثاني 400 «at least one owner must remain»</t>
        </is>
      </c>
      <c r="G11" s="13" t="inlineStr">
        <is>
          <t>P1</t>
        </is>
      </c>
      <c r="H11" s="14" t="inlineStr">
        <is>
          <t>حالات حدّية</t>
        </is>
      </c>
      <c r="I11" s="13" t="inlineStr">
        <is>
          <t>لم يُختبر</t>
        </is>
      </c>
      <c r="J11" s="14" t="inlineStr"/>
      <c r="K11" s="13" t="inlineStr"/>
      <c r="L11" s="14" t="inlineStr"/>
    </row>
    <row r="12">
      <c r="A12" s="13" t="inlineStr">
        <is>
          <t>TC-A-011</t>
        </is>
      </c>
      <c r="B12" s="14" t="inlineStr">
        <is>
          <t>الدخول والحسابات</t>
        </is>
      </c>
      <c r="C12" s="15" t="inlineStr">
        <is>
          <t>رفض بريد مدعو من نطاق غير مسموح</t>
        </is>
      </c>
      <c r="D12" s="14" t="inlineStr">
        <is>
          <t>ALLOWED_EMAIL_DOMAINS مضبوط (مثل almada.sa) ودعوة لبريد gmail.com</t>
        </is>
      </c>
      <c r="E12" s="14" t="inlineStr">
        <is>
          <t>1. حاول التسجيل بالبريد المدعو خارج النطاق</t>
        </is>
      </c>
      <c r="F12" s="14" t="inlineStr">
        <is>
          <t>يُرفض التسجيل بنفس رسالة «غير مدعو» رغم وجود الدعوة</t>
        </is>
      </c>
      <c r="G12" s="13" t="inlineStr">
        <is>
          <t>P2</t>
        </is>
      </c>
      <c r="H12" s="14" t="inlineStr">
        <is>
          <t>أمان</t>
        </is>
      </c>
      <c r="I12" s="13" t="inlineStr">
        <is>
          <t>لم يُختبر</t>
        </is>
      </c>
      <c r="J12" s="14" t="inlineStr"/>
      <c r="K12" s="13" t="inlineStr"/>
      <c r="L12" s="14" t="inlineStr"/>
    </row>
    <row r="13">
      <c r="A13" s="13" t="inlineStr">
        <is>
          <t>TC-A-012</t>
        </is>
      </c>
      <c r="B13" s="14" t="inlineStr">
        <is>
          <t>الدخول والحسابات</t>
        </is>
      </c>
      <c r="C13" s="15" t="inlineStr">
        <is>
          <t>حد طول كلمة المرور 12–128</t>
        </is>
      </c>
      <c r="D13" s="14" t="inlineStr">
        <is>
          <t>دعوة صالحة</t>
        </is>
      </c>
      <c r="E13" s="14" t="inlineStr">
        <is>
          <t>1. سجّل بكلمة مرور من 11 حرفًا
2. كرر بـ 12 حرفًا
3. كرر بـ 129 حرفًا</t>
        </is>
      </c>
      <c r="F13" s="14" t="inlineStr">
        <is>
          <t>11 و129 تُرفضان برسالة واضحة؛ 12 تُقبل</t>
        </is>
      </c>
      <c r="G13" s="13" t="inlineStr">
        <is>
          <t>P2</t>
        </is>
      </c>
      <c r="H13" s="14" t="inlineStr">
        <is>
          <t>حالات حدّية</t>
        </is>
      </c>
      <c r="I13" s="13" t="inlineStr">
        <is>
          <t>لم يُختبر</t>
        </is>
      </c>
      <c r="J13" s="14" t="inlineStr"/>
      <c r="K13" s="13" t="inlineStr"/>
      <c r="L13" s="14" t="inlineStr"/>
    </row>
    <row r="14">
      <c r="A14" s="13" t="inlineStr">
        <is>
          <t>TC-A-013</t>
        </is>
      </c>
      <c r="B14" s="14" t="inlineStr">
        <is>
          <t>الدخول والحسابات</t>
        </is>
      </c>
      <c r="C14" s="15" t="inlineStr">
        <is>
          <t>تسجيل مفتاح مرور والدخول به</t>
        </is>
      </c>
      <c r="D14" s="14" t="inlineStr">
        <is>
          <t>متصفح يدعم WebAuthn، والمنصة على نفس النطاق (rpID = hostname لـ WEB_ORIGIN)</t>
        </is>
      </c>
      <c r="E14" s="14" t="inlineStr">
        <is>
          <t>1. أمان حسابي ← إضافة مفتاح مرور
2. اخرج ثم ادخل بزر «مفتاح المرور»</t>
        </is>
      </c>
      <c r="F14" s="14" t="inlineStr">
        <is>
          <t>يُنشأ سجل في auth_passkey ويتم الدخول دون كلمة مرور؛ ويُحتسب المستخدم mfaEnabled</t>
        </is>
      </c>
      <c r="G14" s="13" t="inlineStr">
        <is>
          <t>P2</t>
        </is>
      </c>
      <c r="H14" s="14" t="inlineStr">
        <is>
          <t>وظيفي</t>
        </is>
      </c>
      <c r="I14" s="13" t="inlineStr">
        <is>
          <t>لم يُختبر</t>
        </is>
      </c>
      <c r="J14" s="14" t="inlineStr"/>
      <c r="K14" s="13" t="inlineStr"/>
      <c r="L14" s="14" t="inlineStr"/>
    </row>
    <row r="15">
      <c r="A15" s="13" t="inlineStr">
        <is>
          <t>TC-A-014</t>
        </is>
      </c>
      <c r="B15" s="14" t="inlineStr">
        <is>
          <t>الدخول والحسابات</t>
        </is>
      </c>
      <c r="C15" s="15" t="inlineStr">
        <is>
          <t>MFA غير مفروض على الأدوار غير المميزة</t>
        </is>
      </c>
      <c r="D15" s="14" t="inlineStr">
        <is>
          <t>MFA_ENFORCE=true؛ مستخدم بدور sales_rep دون MFA</t>
        </is>
      </c>
      <c r="E15" s="14" t="inlineStr">
        <is>
          <t>1. ادخل وافتح عروض الأسعار</t>
        </is>
      </c>
      <c r="F15" s="14" t="inlineStr">
        <is>
          <t>يعمل بشكل طبيعي؛ الفرض فقط على owner وgeneral_manager وaccountant</t>
        </is>
      </c>
      <c r="G15" s="13" t="inlineStr">
        <is>
          <t>P2</t>
        </is>
      </c>
      <c r="H15" s="14" t="inlineStr">
        <is>
          <t>صلاحيات</t>
        </is>
      </c>
      <c r="I15" s="13" t="inlineStr">
        <is>
          <t>لم يُختبر</t>
        </is>
      </c>
      <c r="J15" s="14" t="inlineStr"/>
      <c r="K15" s="13" t="inlineStr"/>
      <c r="L15" s="14" t="inlineStr"/>
    </row>
    <row r="16">
      <c r="A16" s="13" t="inlineStr">
        <is>
          <t>TC-A-015</t>
        </is>
      </c>
      <c r="B16" s="14" t="inlineStr">
        <is>
          <t>الدخول والحسابات</t>
        </is>
      </c>
      <c r="C16" s="15" t="inlineStr">
        <is>
          <t>انتهاء الجلسة بعد 12 ساعة</t>
        </is>
      </c>
      <c r="D16" s="14" t="inlineStr">
        <is>
          <t>مستخدم مسجّل الدخول</t>
        </is>
      </c>
      <c r="E16" s="14" t="inlineStr">
        <is>
          <t>1. سجّل الدخول
2. غيّر expiresAt للجلسة في auth_session إلى الماضي (أو انتظر 12 ساعة)
3. حدّث الصفحة</t>
        </is>
      </c>
      <c r="F16" s="14" t="inlineStr">
        <is>
          <t>يُعاد التوجيه إلى /login؛ API يُرجع 401 {error:"unauthenticated"}</t>
        </is>
      </c>
      <c r="G16" s="13" t="inlineStr">
        <is>
          <t>P2</t>
        </is>
      </c>
      <c r="H16" s="14" t="inlineStr">
        <is>
          <t>أمان</t>
        </is>
      </c>
      <c r="I16" s="13" t="inlineStr">
        <is>
          <t>لم يُختبر</t>
        </is>
      </c>
      <c r="J16" s="14" t="inlineStr"/>
      <c r="K16" s="13" t="inlineStr"/>
      <c r="L16" s="14" t="inlineStr"/>
    </row>
    <row r="17">
      <c r="A17" s="13" t="inlineStr">
        <is>
          <t>TC-A-016</t>
        </is>
      </c>
      <c r="B17" s="14" t="inlineStr">
        <is>
          <t>الدخول والحسابات</t>
        </is>
      </c>
      <c r="C17" s="15" t="inlineStr">
        <is>
          <t>دعوة مستخدم ببريد موجود مسبقًا</t>
        </is>
      </c>
      <c r="D17" s="14" t="inlineStr">
        <is>
          <t>مستخدم موجود ahmad@x.sa</t>
        </is>
      </c>
      <c r="E17" s="14" t="inlineStr">
        <is>
          <t>1. الإعدادات ← المستخدمون ← دعوة بنفس البريد (بحروف كبيرة)</t>
        </is>
      </c>
      <c r="F17" s="14" t="inlineStr">
        <is>
          <t>409 «user already exists»</t>
        </is>
      </c>
      <c r="G17" s="13" t="inlineStr">
        <is>
          <t>P2</t>
        </is>
      </c>
      <c r="H17" s="14" t="inlineStr">
        <is>
          <t>تحقق من المدخلات</t>
        </is>
      </c>
      <c r="I17" s="13" t="inlineStr">
        <is>
          <t>لم يُختبر</t>
        </is>
      </c>
      <c r="J17" s="14" t="inlineStr"/>
      <c r="K17" s="13" t="inlineStr"/>
      <c r="L17" s="14" t="inlineStr"/>
    </row>
    <row r="18">
      <c r="A18" s="13" t="inlineStr">
        <is>
          <t>TC-A-017</t>
        </is>
      </c>
      <c r="B18" s="14" t="inlineStr">
        <is>
          <t>الدخول والحسابات</t>
        </is>
      </c>
      <c r="C18" s="15" t="inlineStr">
        <is>
          <t>Google SSO لمستخدم مدعو يحذف كلمة مرور غير مؤكدة سابقة</t>
        </is>
      </c>
      <c r="D18" s="14" t="inlineStr">
        <is>
          <t>بريد مدعو سجّل أحدهم عليه بكلمة مرور دون تأكيد؛ Google مضبوط</t>
        </is>
      </c>
      <c r="E18" s="14" t="inlineStr">
        <is>
          <t>1. ادخل بـ Google بنفس البريد
2. حاول الدخول بكلمة المرور القديمة</t>
        </is>
      </c>
      <c r="F18" s="14" t="inlineStr">
        <is>
          <t>الدخول بـ Google ينجح ويُربط بالدعوة؛ حساب credential القديم يُحذف فلا تعمل كلمة المرور القديمة</t>
        </is>
      </c>
      <c r="G18" s="13" t="inlineStr">
        <is>
          <t>P2</t>
        </is>
      </c>
      <c r="H18" s="14" t="inlineStr">
        <is>
          <t>أمان</t>
        </is>
      </c>
      <c r="I18" s="13" t="inlineStr">
        <is>
          <t>لم يُختبر</t>
        </is>
      </c>
      <c r="J18" s="14" t="inlineStr"/>
      <c r="K18" s="13" t="inlineStr"/>
      <c r="L18" s="14" t="inlineStr"/>
    </row>
    <row r="19">
      <c r="A19" s="13" t="inlineStr">
        <is>
          <t>TC-A-018</t>
        </is>
      </c>
      <c r="B19" s="14" t="inlineStr">
        <is>
          <t>الدخول والحسابات</t>
        </is>
      </c>
      <c r="C19" s="15" t="inlineStr">
        <is>
          <t>البريد يُحفظ بأحرف صغيرة ويُطابق الدعوة</t>
        </is>
      </c>
      <c r="D19" s="14" t="inlineStr">
        <is>
          <t>دعوة لـ sara@almada.sa</t>
        </is>
      </c>
      <c r="E19" s="14" t="inlineStr">
        <is>
          <t>1. سجّل بالبريد Sara@Almada.SA
2. أكد البريد وادخل</t>
        </is>
      </c>
      <c r="F19" s="14" t="inlineStr">
        <is>
          <t>يُقبل التسجيل لأن البريد يُحوَّل إلى lowercase ويُربط بالدعوة نفسها</t>
        </is>
      </c>
      <c r="G19" s="13" t="inlineStr">
        <is>
          <t>P3</t>
        </is>
      </c>
      <c r="H19" s="14" t="inlineStr">
        <is>
          <t>حالات حدّية</t>
        </is>
      </c>
      <c r="I19" s="13" t="inlineStr">
        <is>
          <t>لم يُختبر</t>
        </is>
      </c>
      <c r="J19" s="14" t="inlineStr"/>
      <c r="K19" s="13" t="inlineStr"/>
      <c r="L19" s="14" t="inlineStr"/>
    </row>
    <row r="20">
      <c r="A20" s="13" t="inlineStr">
        <is>
          <t>TC-A-019</t>
        </is>
      </c>
      <c r="B20" s="14" t="inlineStr">
        <is>
          <t>الدخول والحسابات</t>
        </is>
      </c>
      <c r="C20" s="15" t="inlineStr">
        <is>
          <t>دعوة بدور غير معروف</t>
        </is>
      </c>
      <c r="D20" s="14" t="inlineStr">
        <is>
          <t>مالك</t>
        </is>
      </c>
      <c r="E20" s="14" t="inlineStr">
        <is>
          <t>1. POST /api/users/invite بـ roleKeys:["ceo"]</t>
        </is>
      </c>
      <c r="F20" s="14" t="inlineStr">
        <is>
          <t>400 «unknown role»، ولا يُنشأ المستخدم</t>
        </is>
      </c>
      <c r="G20" s="13" t="inlineStr">
        <is>
          <t>P3</t>
        </is>
      </c>
      <c r="H20" s="14" t="inlineStr">
        <is>
          <t>تحقق من المدخلات</t>
        </is>
      </c>
      <c r="I20" s="13" t="inlineStr">
        <is>
          <t>لم يُختبر</t>
        </is>
      </c>
      <c r="J20" s="14" t="inlineStr"/>
      <c r="K20" s="13" t="inlineStr"/>
      <c r="L20" s="14" t="inlineStr"/>
    </row>
    <row r="21">
      <c r="A21" s="13" t="inlineStr">
        <is>
          <t>TC-A-020</t>
        </is>
      </c>
      <c r="B21" s="14" t="inlineStr">
        <is>
          <t>الدخول والحسابات</t>
        </is>
      </c>
      <c r="C21" s="15" t="inlineStr">
        <is>
          <t>إعادة تفعيل مستخدم لم يربط حسابه بعد</t>
        </is>
      </c>
      <c r="D21" s="14" t="inlineStr">
        <is>
          <t>مستخدم مدعو لم يُفعّل (authUserId فارغ) ثم أُوقف</t>
        </is>
      </c>
      <c r="E21" s="14" t="inlineStr">
        <is>
          <t>1. غيّر الحالة إلى active</t>
        </is>
      </c>
      <c r="F21" s="14" t="inlineStr">
        <is>
          <t>تُحفظ الحالة invited (لا active) لأن الحساب لم يُربط بعد؛ وسجل audit reactivate</t>
        </is>
      </c>
      <c r="G21" s="13" t="inlineStr">
        <is>
          <t>P3</t>
        </is>
      </c>
      <c r="H21" s="14" t="inlineStr">
        <is>
          <t>حالات حدّية</t>
        </is>
      </c>
      <c r="I21" s="13" t="inlineStr">
        <is>
          <t>لم يُختبر</t>
        </is>
      </c>
      <c r="J21" s="14" t="inlineStr"/>
      <c r="K21" s="13" t="inlineStr"/>
      <c r="L21" s="14" t="inlineStr"/>
    </row>
    <row r="22">
      <c r="A22" s="13" t="inlineStr">
        <is>
          <t>TC-A-021</t>
        </is>
      </c>
      <c r="B22" s="14" t="inlineStr">
        <is>
          <t>الدخول والحسابات</t>
        </is>
      </c>
      <c r="C22" s="15" t="inlineStr">
        <is>
          <t>سجل الدخول الناجح يُحدّث lastLoginAt</t>
        </is>
      </c>
      <c r="D22" s="14" t="inlineStr">
        <is>
          <t>مستخدم نشط</t>
        </is>
      </c>
      <c r="E22" s="14" t="inlineStr">
        <is>
          <t>1. ادخل
2. افتح الإعدادات ← المستخدمون</t>
        </is>
      </c>
      <c r="F22" s="14" t="inlineStr">
        <is>
          <t>يظهر آخر دخول بالوقت الحالي، وسجل login_event يحمل IP وUser-Agent</t>
        </is>
      </c>
      <c r="G22" s="13" t="inlineStr">
        <is>
          <t>P3</t>
        </is>
      </c>
      <c r="H22" s="14" t="inlineStr">
        <is>
          <t>وظيفي</t>
        </is>
      </c>
      <c r="I22" s="13" t="inlineStr">
        <is>
          <t>لم يُختبر</t>
        </is>
      </c>
      <c r="J22" s="14" t="inlineStr"/>
      <c r="K22" s="13" t="inlineStr"/>
      <c r="L22" s="14" t="inlineStr"/>
    </row>
    <row r="23">
      <c r="A23" s="13" t="inlineStr">
        <is>
          <t>TC-A-022</t>
        </is>
      </c>
      <c r="B23" s="14" t="inlineStr">
        <is>
          <t>الأدوار والصلاحيات</t>
        </is>
      </c>
      <c r="C23" s="15" t="inlineStr">
        <is>
          <t>المندوب لا يرى الإعدادات ولا التقارير المالية</t>
        </is>
      </c>
      <c r="D23" s="14" t="inlineStr">
        <is>
          <t>حساب sales_rep وحساب owner</t>
        </is>
      </c>
      <c r="E23" s="14" t="inlineStr">
        <is>
          <t>1. ادخل بالمندوب وقارن القائمة الجانبية بالمالك
2. افتح /settings/users مباشرة من شريط العنوان
3. استدعِ GET /api/users</t>
        </is>
      </c>
      <c r="F23" s="14" t="inlineStr">
        <is>
          <t>القائمة لا تعرض الإعدادات/المالية/المشتريات؛ فتح الرابط مباشرة لا يعرض بيانات؛ API يُرجع 403 «missing permission: admin.users | quote.approve»</t>
        </is>
      </c>
      <c r="G23" s="13" t="inlineStr">
        <is>
          <t>P1</t>
        </is>
      </c>
      <c r="H23" s="14" t="inlineStr">
        <is>
          <t>صلاحيات</t>
        </is>
      </c>
      <c r="I23" s="13" t="inlineStr">
        <is>
          <t>لم يُختبر</t>
        </is>
      </c>
      <c r="J23" s="14" t="inlineStr"/>
      <c r="K23" s="13" t="inlineStr"/>
      <c r="L23" s="14" t="inlineStr"/>
    </row>
    <row r="24">
      <c r="A24" s="13" t="inlineStr">
        <is>
          <t>TC-A-023</t>
        </is>
      </c>
      <c r="B24" s="14" t="inlineStr">
        <is>
          <t>الأدوار والصلاحيات</t>
        </is>
      </c>
      <c r="C24" s="15" t="inlineStr">
        <is>
          <t>نطاق own: المندوب يرى عروضه فقط</t>
        </is>
      </c>
      <c r="D24" s="14" t="inlineStr">
        <is>
          <t>مندوبان A وB في نفس الفريق، لكل منهما عرض</t>
        </is>
      </c>
      <c r="E24" s="14" t="inlineStr">
        <is>
          <t>1. ادخل بـ A وافتح /quotes
2. افتح /quotes/{id عرض B} مباشرة
3. PUT /api/quotes/{id عرض B}</t>
        </is>
      </c>
      <c r="F24" s="14" t="inlineStr">
        <is>
          <t>القائمة تعرض عروض A فقط؛ فتح عرض B يُرفض 403/404؛ التعديل مرفوض</t>
        </is>
      </c>
      <c r="G24" s="13" t="inlineStr">
        <is>
          <t>P1</t>
        </is>
      </c>
      <c r="H24" s="14" t="inlineStr">
        <is>
          <t>صلاحيات</t>
        </is>
      </c>
      <c r="I24" s="13" t="inlineStr">
        <is>
          <t>لم يُختبر</t>
        </is>
      </c>
      <c r="J24" s="14" t="inlineStr"/>
      <c r="K24" s="13" t="inlineStr"/>
      <c r="L24" s="14" t="inlineStr"/>
    </row>
    <row r="25">
      <c r="A25" s="13" t="inlineStr">
        <is>
          <t>TC-A-024</t>
        </is>
      </c>
      <c r="B25" s="14" t="inlineStr">
        <is>
          <t>الأدوار والصلاحيات</t>
        </is>
      </c>
      <c r="C25" s="15" t="inlineStr">
        <is>
          <t>نطاق team: مدير المبيعات يرى عروض فريقه فقط</t>
        </is>
      </c>
      <c r="D25" s="14" t="inlineStr">
        <is>
          <t>مدير مبيعات في فريق «الرياض»، ومندوب في فريق «جدة»</t>
        </is>
      </c>
      <c r="E25" s="14" t="inlineStr">
        <is>
          <t>1. ادخل بالمدير وافتح /quotes
2. افتح عرض مندوب جدة مباشرة</t>
        </is>
      </c>
      <c r="F25" s="14" t="inlineStr">
        <is>
          <t>يرى عروض فريقه وعروضه فقط؛ عرض فريق جدة مرفوض</t>
        </is>
      </c>
      <c r="G25" s="13" t="inlineStr">
        <is>
          <t>P1</t>
        </is>
      </c>
      <c r="H25" s="14" t="inlineStr">
        <is>
          <t>صلاحيات</t>
        </is>
      </c>
      <c r="I25" s="13" t="inlineStr">
        <is>
          <t>لم يُختبر</t>
        </is>
      </c>
      <c r="J25" s="14" t="inlineStr"/>
      <c r="K25" s="13" t="inlineStr"/>
      <c r="L25" s="14" t="inlineStr"/>
    </row>
    <row r="26">
      <c r="A26" s="13" t="inlineStr">
        <is>
          <t>TC-A-025</t>
        </is>
      </c>
      <c r="B26" s="14" t="inlineStr">
        <is>
          <t>الأدوار والصلاحيات</t>
        </is>
      </c>
      <c r="C26" s="15" t="inlineStr">
        <is>
          <t>الواجهة تخفي والخادم يرفض (عدم الاعتماد على الإخفاء)</t>
        </is>
      </c>
      <c r="D26" s="14" t="inlineStr">
        <is>
          <t>حساب sales_rep</t>
        </is>
      </c>
      <c r="E26" s="14" t="inlineStr">
        <is>
          <t>1. استدعِ مباشرة POST /api/quotes/{id}/approve
2. استدعِ PUT /api/products/{id}</t>
        </is>
      </c>
      <c r="F26" s="14" t="inlineStr">
        <is>
          <t>403 لكليهما رغم عدم وجود زر في الواجهة</t>
        </is>
      </c>
      <c r="G26" s="13" t="inlineStr">
        <is>
          <t>P1</t>
        </is>
      </c>
      <c r="H26" s="14" t="inlineStr">
        <is>
          <t>أمان</t>
        </is>
      </c>
      <c r="I26" s="13" t="inlineStr">
        <is>
          <t>لم يُختبر</t>
        </is>
      </c>
      <c r="J26" s="14" t="inlineStr"/>
      <c r="K26" s="13" t="inlineStr"/>
      <c r="L26" s="14" t="inlineStr"/>
    </row>
    <row r="27">
      <c r="A27" s="13" t="inlineStr">
        <is>
          <t>TC-A-026</t>
        </is>
      </c>
      <c r="B27" s="14" t="inlineStr">
        <is>
          <t>الأدوار والصلاحيات</t>
        </is>
      </c>
      <c r="C27" s="15" t="inlineStr">
        <is>
          <t>نطاق company: ما قبل البيع يقرأ كل العروض ويكتب عروضه فقط</t>
        </is>
      </c>
      <c r="D27" s="14" t="inlineStr">
        <is>
          <t>حساب presales</t>
        </is>
      </c>
      <c r="E27" s="14" t="inlineStr">
        <is>
          <t>1. افتح /quotes
2. افتح عرض مندوب وحاول الحفظ
3. أنشئ عرضًا جديدًا</t>
        </is>
      </c>
      <c r="F27" s="14" t="inlineStr">
        <is>
          <t>يرى كل العروض بالتكلفة (quote.cost.read company)؛ تعديل عرض غيره مرفوض؛ ينشئ عرضه بحرية لكنه لا يرسل (لا quote.send)</t>
        </is>
      </c>
      <c r="G27" s="13" t="inlineStr">
        <is>
          <t>P2</t>
        </is>
      </c>
      <c r="H27" s="14" t="inlineStr">
        <is>
          <t>صلاحيات</t>
        </is>
      </c>
      <c r="I27" s="13" t="inlineStr">
        <is>
          <t>لم يُختبر</t>
        </is>
      </c>
      <c r="J27" s="14" t="inlineStr"/>
      <c r="K27" s="13" t="inlineStr"/>
      <c r="L27" s="14" t="inlineStr"/>
    </row>
    <row r="28">
      <c r="A28" s="13" t="inlineStr">
        <is>
          <t>TC-A-027</t>
        </is>
      </c>
      <c r="B28" s="14" t="inlineStr">
        <is>
          <t>الأدوار والصلاحيات</t>
        </is>
      </c>
      <c r="C28" s="15" t="inlineStr">
        <is>
          <t>الأدوار التراكمية: أوسع نطاق يفوز</t>
        </is>
      </c>
      <c r="D28" s="14" t="inlineStr">
        <is>
          <t>مستخدم بدوري sales_rep وsales_manager</t>
        </is>
      </c>
      <c r="E28" s="14" t="inlineStr">
        <is>
          <t>1. افتح /quotes</t>
        </is>
      </c>
      <c r="F28" s="14" t="inlineStr">
        <is>
          <t>quote.read بنطاق team (الأوسع)؛ maxDiscountPercent = 15 (الأعلى بين الأدوار)</t>
        </is>
      </c>
      <c r="G28" s="13" t="inlineStr">
        <is>
          <t>P2</t>
        </is>
      </c>
      <c r="H28" s="14" t="inlineStr">
        <is>
          <t>صلاحيات</t>
        </is>
      </c>
      <c r="I28" s="13" t="inlineStr">
        <is>
          <t>لم يُختبر</t>
        </is>
      </c>
      <c r="J28" s="14" t="inlineStr"/>
      <c r="K28" s="13" t="inlineStr"/>
      <c r="L28" s="14" t="inlineStr"/>
    </row>
    <row r="29">
      <c r="A29" s="13" t="inlineStr">
        <is>
          <t>TC-A-028</t>
        </is>
      </c>
      <c r="B29" s="14" t="inlineStr">
        <is>
          <t>الأدوار والصلاحيات</t>
        </is>
      </c>
      <c r="C29" s="15" t="inlineStr">
        <is>
          <t>المدقق قراءة فقط لكل شيء</t>
        </is>
      </c>
      <c r="D29" s="14" t="inlineStr">
        <is>
          <t>حساب auditor</t>
        </is>
      </c>
      <c r="E29" s="14" t="inlineStr">
        <is>
          <t>1. افتح العملاء والعروض والعقود
2. حاول إنشاء عميل أو تعديل عرض
3. افتح سجل التدقيق</t>
        </is>
      </c>
      <c r="F29" s="14" t="inlineStr">
        <is>
          <t>القراءة متاحة لكل السجلات؛ أي كتابة 403 «missing permission»؛ سجل التدقيق متاح (admin.audit)</t>
        </is>
      </c>
      <c r="G29" s="13" t="inlineStr">
        <is>
          <t>P2</t>
        </is>
      </c>
      <c r="H29" s="14" t="inlineStr">
        <is>
          <t>صلاحيات</t>
        </is>
      </c>
      <c r="I29" s="13" t="inlineStr">
        <is>
          <t>لم يُختبر</t>
        </is>
      </c>
      <c r="J29" s="14" t="inlineStr"/>
      <c r="K29" s="13" t="inlineStr"/>
      <c r="L29" s="14" t="inlineStr"/>
    </row>
    <row r="30">
      <c r="A30" s="13" t="inlineStr">
        <is>
          <t>TC-A-029</t>
        </is>
      </c>
      <c r="B30" s="14" t="inlineStr">
        <is>
          <t>الأدوار والصلاحيات</t>
        </is>
      </c>
      <c r="C30" s="15" t="inlineStr">
        <is>
          <t>الفني لا يصل إلى المبيعات</t>
        </is>
      </c>
      <c r="D30" s="14" t="inlineStr">
        <is>
          <t>حساب technician</t>
        </is>
      </c>
      <c r="E30" s="14" t="inlineStr">
        <is>
          <t>1. افتح /quotes و/customers/new
2. GET /api/quotes</t>
        </is>
      </c>
      <c r="F30" s="14" t="inlineStr">
        <is>
          <t>لا تظهر العروض في القائمة؛ API يُرجع 403 «missing permission: quote.read»</t>
        </is>
      </c>
      <c r="G30" s="13" t="inlineStr">
        <is>
          <t>P2</t>
        </is>
      </c>
      <c r="H30" s="14" t="inlineStr">
        <is>
          <t>صلاحيات</t>
        </is>
      </c>
      <c r="I30" s="13" t="inlineStr">
        <is>
          <t>لم يُختبر</t>
        </is>
      </c>
      <c r="J30" s="14" t="inlineStr"/>
      <c r="K30" s="13" t="inlineStr"/>
      <c r="L30" s="14" t="inlineStr"/>
    </row>
    <row r="31">
      <c r="A31" s="13" t="inlineStr">
        <is>
          <t>TC-A-030</t>
        </is>
      </c>
      <c r="B31" s="14" t="inlineStr">
        <is>
          <t>الأدوار والصلاحيات</t>
        </is>
      </c>
      <c r="C31" s="15" t="inlineStr">
        <is>
          <t>تعديل مصفوفة صلاحيات دور ينعكس فورًا</t>
        </is>
      </c>
      <c r="D31" s="14" t="inlineStr">
        <is>
          <t>مالك؛ مندوب مسجّل الدخول</t>
        </is>
      </c>
      <c r="E31" s="14" t="inlineStr">
        <is>
          <t>1. المالك: الإعدادات ← الأدوار ← أضف product.cost.read لدور sales_rep
2. المندوب: حدّث صفحة المنتجات</t>
        </is>
      </c>
      <c r="F31" s="14" t="inlineStr">
        <is>
          <t>تظهر أعمدة سعر الشراء للمندوب في الطلب التالي دون إعادة دخول (الصلاحيات تُحمّل مع كل طلب)؛ يُسجَّل audit</t>
        </is>
      </c>
      <c r="G31" s="13" t="inlineStr">
        <is>
          <t>P2</t>
        </is>
      </c>
      <c r="H31" s="14" t="inlineStr">
        <is>
          <t>تكامل</t>
        </is>
      </c>
      <c r="I31" s="13" t="inlineStr">
        <is>
          <t>لم يُختبر</t>
        </is>
      </c>
      <c r="J31" s="14" t="inlineStr"/>
      <c r="K31" s="13" t="inlineStr"/>
      <c r="L31" s="14" t="inlineStr"/>
    </row>
    <row r="32">
      <c r="A32" s="13" t="inlineStr">
        <is>
          <t>TC-A-031</t>
        </is>
      </c>
      <c r="B32" s="14" t="inlineStr">
        <is>
          <t>لوحة القيادة والتنقل</t>
        </is>
      </c>
      <c r="C32" s="15" t="inlineStr">
        <is>
          <t>فتح لوحة القيادة دون أخطاء</t>
        </is>
      </c>
      <c r="D32" s="14" t="inlineStr">
        <is>
          <t>أي مستخدم نشط</t>
        </is>
      </c>
      <c r="E32" s="14" t="inlineStr">
        <is>
          <t>1. ادخل وافتح الصفحة الرئيسية /</t>
        </is>
      </c>
      <c r="F32" s="14" t="inlineStr">
        <is>
          <t>تظهر البطاقات والأرقام دون أخطاء في Console ودون بطاقات فارغة مكسورة</t>
        </is>
      </c>
      <c r="G32" s="13" t="inlineStr">
        <is>
          <t>P1</t>
        </is>
      </c>
      <c r="H32" s="14" t="inlineStr">
        <is>
          <t>واجهة وعرض</t>
        </is>
      </c>
      <c r="I32" s="13" t="inlineStr">
        <is>
          <t>لم يُختبر</t>
        </is>
      </c>
      <c r="J32" s="14" t="inlineStr"/>
      <c r="K32" s="13" t="inlineStr"/>
      <c r="L32" s="14" t="inlineStr"/>
    </row>
    <row r="33">
      <c r="A33" s="13" t="inlineStr">
        <is>
          <t>TC-A-032</t>
        </is>
      </c>
      <c r="B33" s="14" t="inlineStr">
        <is>
          <t>لوحة القيادة والتنقل</t>
        </is>
      </c>
      <c r="C33" s="15" t="inlineStr">
        <is>
          <t>محتوى اللوحة حسب الدور</t>
        </is>
      </c>
      <c r="D33" s="14" t="inlineStr">
        <is>
          <t>مندوب ومدير مبيعات ومحاسب</t>
        </is>
      </c>
      <c r="E33" s="14" t="inlineStr">
        <is>
          <t>1. ادخل بكل حساب وقارن البطاقات</t>
        </is>
      </c>
      <c r="F33" s="14" t="inlineStr">
        <is>
          <t>المندوب يرى أرقام عروضه فقط؛ المدير يرى فريقه؛ المحاسب يرى بطاقات التحصيل؛ لا يرى المندوب الهامش أو التكلفة</t>
        </is>
      </c>
      <c r="G33" s="13" t="inlineStr">
        <is>
          <t>P1</t>
        </is>
      </c>
      <c r="H33" s="14" t="inlineStr">
        <is>
          <t>صلاحيات</t>
        </is>
      </c>
      <c r="I33" s="13" t="inlineStr">
        <is>
          <t>لم يُختبر</t>
        </is>
      </c>
      <c r="J33" s="14" t="inlineStr"/>
      <c r="K33" s="13" t="inlineStr"/>
      <c r="L33" s="14" t="inlineStr"/>
    </row>
    <row r="34">
      <c r="A34" s="13" t="inlineStr">
        <is>
          <t>TC-A-033</t>
        </is>
      </c>
      <c r="B34" s="14" t="inlineStr">
        <is>
          <t>لوحة القيادة والتنقل</t>
        </is>
      </c>
      <c r="C34" s="15" t="inlineStr">
        <is>
          <t>تبديل اللغة AR↔EN واتجاه الصفحة</t>
        </is>
      </c>
      <c r="D34" s="14" t="inlineStr">
        <is>
          <t>مستخدم بلغة العربية</t>
        </is>
      </c>
      <c r="E34" s="14" t="inlineStr">
        <is>
          <t>1. اضغط زر English أعلى الصفحة
2. تنقل بين 3 صفحات
3. ارجع للعربية</t>
        </is>
      </c>
      <c r="F34" s="14" t="inlineStr">
        <is>
          <t>يتحول &lt;html lang dir&gt; إلى en/ltr فورًا ثم ar/rtl؛ البيانات لا تتغير؛ الأكواد والجوالات والأرقام تبقى dir=ltr</t>
        </is>
      </c>
      <c r="G34" s="13" t="inlineStr">
        <is>
          <t>P1</t>
        </is>
      </c>
      <c r="H34" s="14" t="inlineStr">
        <is>
          <t>واجهة وعرض</t>
        </is>
      </c>
      <c r="I34" s="13" t="inlineStr">
        <is>
          <t>لم يُختبر</t>
        </is>
      </c>
      <c r="J34" s="14" t="inlineStr"/>
      <c r="K34" s="13" t="inlineStr"/>
      <c r="L34" s="14" t="inlineStr"/>
    </row>
    <row r="35">
      <c r="A35" s="13" t="inlineStr">
        <is>
          <t>TC-A-034</t>
        </is>
      </c>
      <c r="B35" s="14" t="inlineStr">
        <is>
          <t>لوحة القيادة والتنقل</t>
        </is>
      </c>
      <c r="C35" s="15" t="inlineStr">
        <is>
          <t>أرقام اللوحة تطابق القوائم</t>
        </is>
      </c>
      <c r="D35" s="14" t="inlineStr">
        <is>
          <t>بيانات تجريبية</t>
        </is>
      </c>
      <c r="E35" s="14" t="inlineStr">
        <is>
          <t>1. سجّل عدد العروض «بانتظار الموافقة» في اللوحة
2. افتح /quotes بفلتر الحالة نفسها</t>
        </is>
      </c>
      <c r="F35" s="14" t="inlineStr">
        <is>
          <t>العددان متطابقان</t>
        </is>
      </c>
      <c r="G35" s="13" t="inlineStr">
        <is>
          <t>P2</t>
        </is>
      </c>
      <c r="H35" s="14" t="inlineStr">
        <is>
          <t>تكامل</t>
        </is>
      </c>
      <c r="I35" s="13" t="inlineStr">
        <is>
          <t>لم يُختبر</t>
        </is>
      </c>
      <c r="J35" s="14" t="inlineStr"/>
      <c r="K35" s="13" t="inlineStr"/>
      <c r="L35" s="14" t="inlineStr"/>
    </row>
    <row r="36">
      <c r="A36" s="13" t="inlineStr">
        <is>
          <t>TC-A-035</t>
        </is>
      </c>
      <c r="B36" s="14" t="inlineStr">
        <is>
          <t>لوحة القيادة والتنقل</t>
        </is>
      </c>
      <c r="C36" s="15" t="inlineStr">
        <is>
          <t>حفظ اللغة على الحساب</t>
        </is>
      </c>
      <c r="D36" s="14" t="inlineStr">
        <is>
          <t>مستخدم بدّل اللغة إلى English</t>
        </is>
      </c>
      <c r="E36" s="14" t="inlineStr">
        <is>
          <t>1. اخرج
2. ادخل من متصفح آخر</t>
        </is>
      </c>
      <c r="F36" s="14" t="inlineStr">
        <is>
          <t>تظهر الواجهة بالإنجليزية مباشرة (locale محفوظ عبر PATCH /api/me وكوكي mmc_locale)</t>
        </is>
      </c>
      <c r="G36" s="13" t="inlineStr">
        <is>
          <t>P2</t>
        </is>
      </c>
      <c r="H36" s="14" t="inlineStr">
        <is>
          <t>وظيفي</t>
        </is>
      </c>
      <c r="I36" s="13" t="inlineStr">
        <is>
          <t>لم يُختبر</t>
        </is>
      </c>
      <c r="J36" s="14" t="inlineStr"/>
      <c r="K36" s="13" t="inlineStr"/>
      <c r="L36" s="14" t="inlineStr"/>
    </row>
    <row r="37">
      <c r="A37" s="13" t="inlineStr">
        <is>
          <t>TC-A-036</t>
        </is>
      </c>
      <c r="B37" s="14" t="inlineStr">
        <is>
          <t>لوحة القيادة والتنقل</t>
        </is>
      </c>
      <c r="C37" s="15" t="inlineStr">
        <is>
          <t>التنقل على عرض جوال 375px</t>
        </is>
      </c>
      <c r="D37" s="14" t="inlineStr">
        <is>
          <t>جوال أو محاكاة 375×812</t>
        </is>
      </c>
      <c r="E37" s="14" t="inlineStr">
        <is>
          <t>1. افتح اللوحة
2. افتح القائمة الجانبية
3. افتح /quotes و/customers</t>
        </is>
      </c>
      <c r="F37" s="14" t="inlineStr">
        <is>
          <t>لا تمرير أفقي للصفحة؛ القائمة تفتح كدرج من اليمين في RTL؛ الجداول قابلة للتمرير داخل حاويتها</t>
        </is>
      </c>
      <c r="G37" s="13" t="inlineStr">
        <is>
          <t>P2</t>
        </is>
      </c>
      <c r="H37" s="14" t="inlineStr">
        <is>
          <t>واجهة وعرض</t>
        </is>
      </c>
      <c r="I37" s="13" t="inlineStr">
        <is>
          <t>لم يُختبر</t>
        </is>
      </c>
      <c r="J37" s="14" t="inlineStr"/>
      <c r="K37" s="13" t="inlineStr"/>
      <c r="L37" s="14" t="inlineStr"/>
    </row>
    <row r="38">
      <c r="A38" s="13" t="inlineStr">
        <is>
          <t>TC-A-037</t>
        </is>
      </c>
      <c r="B38" s="14" t="inlineStr">
        <is>
          <t>لوحة القيادة والتنقل</t>
        </is>
      </c>
      <c r="C38" s="15" t="inlineStr">
        <is>
          <t>الإشعارات وقراءتها</t>
        </is>
      </c>
      <c r="D38" s="14" t="inlineStr">
        <is>
          <t>عرض أُرسل للموافقة</t>
        </is>
      </c>
      <c r="E38" s="14" t="inlineStr">
        <is>
          <t>1. ادخل بالمدير وافتح جرس الإشعارات
2. اضغط الإشعار</t>
        </is>
      </c>
      <c r="F38" s="14" t="inlineStr">
        <is>
          <t>يظهر «عرض {الرقم} بانتظار الموافقة: ...» وينتقل إلى /quotes/{id}؛ يُعلَّم مقروءًا (POST /api/notifications/read)</t>
        </is>
      </c>
      <c r="G38" s="13" t="inlineStr">
        <is>
          <t>P2</t>
        </is>
      </c>
      <c r="H38" s="14" t="inlineStr">
        <is>
          <t>تكامل</t>
        </is>
      </c>
      <c r="I38" s="13" t="inlineStr">
        <is>
          <t>لم يُختبر</t>
        </is>
      </c>
      <c r="J38" s="14" t="inlineStr"/>
      <c r="K38" s="13" t="inlineStr"/>
      <c r="L38" s="14" t="inlineStr"/>
    </row>
    <row r="39">
      <c r="A39" s="13" t="inlineStr">
        <is>
          <t>TC-A-038</t>
        </is>
      </c>
      <c r="B39" s="14" t="inlineStr">
        <is>
          <t>لوحة القيادة والتنقل</t>
        </is>
      </c>
      <c r="C39" s="15" t="inlineStr">
        <is>
          <t>تبديل اللغة من صفحة الدخول قبل الدخول</t>
        </is>
      </c>
      <c r="D39" s="14" t="inlineStr">
        <is>
          <t>مستخدم لغته المحفوظة عربية</t>
        </is>
      </c>
      <c r="E39" s="14" t="inlineStr">
        <is>
          <t>1. في /login اختر English
2. ادخل</t>
        </is>
      </c>
      <c r="F39" s="14" t="inlineStr">
        <is>
          <t>تبقى الواجهة بالإنجليزية ويُحدَّث locale الحساب إلى en</t>
        </is>
      </c>
      <c r="G39" s="13" t="inlineStr">
        <is>
          <t>P3</t>
        </is>
      </c>
      <c r="H39" s="14" t="inlineStr">
        <is>
          <t>حالات حدّية</t>
        </is>
      </c>
      <c r="I39" s="13" t="inlineStr">
        <is>
          <t>لم يُختبر</t>
        </is>
      </c>
      <c r="J39" s="14" t="inlineStr"/>
      <c r="K39" s="13" t="inlineStr"/>
      <c r="L39" s="14" t="inlineStr"/>
    </row>
    <row r="40">
      <c r="A40" s="13" t="inlineStr">
        <is>
          <t>TC-A-039</t>
        </is>
      </c>
      <c r="B40" s="14" t="inlineStr">
        <is>
          <t>العملاء</t>
        </is>
      </c>
      <c r="C40" s="15" t="inlineStr">
        <is>
          <t>إنشاء عميل منشأة كامل</t>
        </is>
      </c>
      <c r="D40" s="14" t="inlineStr">
        <is>
          <t>مستخدم بصلاحية party.write</t>
        </is>
      </c>
      <c r="E40" s="14" t="inlineStr">
        <is>
          <t>1. العملاء ← عميل جديد
2. الاسم بالعربية «شركة النخبة»، الرقم الموحد 7001234567، الرقم الضريبي 300000000000003، الجوال 0551234567
3. احفظ</t>
        </is>
      </c>
      <c r="F40" s="14" t="inlineStr">
        <is>
          <t>يُحفظ العميل؛ يُخزن الجوال +966551234567؛ يظهر في القائمة؛ ownerId = المستخدم الحالي؛ audit create</t>
        </is>
      </c>
      <c r="G40" s="13" t="inlineStr">
        <is>
          <t>P1</t>
        </is>
      </c>
      <c r="H40" s="14" t="inlineStr">
        <is>
          <t>وظيفي</t>
        </is>
      </c>
      <c r="I40" s="13" t="inlineStr">
        <is>
          <t>لم يُختبر</t>
        </is>
      </c>
      <c r="J40" s="14" t="inlineStr"/>
      <c r="K40" s="13" t="inlineStr"/>
      <c r="L40" s="14" t="inlineStr"/>
    </row>
    <row r="41">
      <c r="A41" s="13" t="inlineStr">
        <is>
          <t>TC-A-040</t>
        </is>
      </c>
      <c r="B41" s="14" t="inlineStr">
        <is>
          <t>العملاء</t>
        </is>
      </c>
      <c r="C41" s="15" t="inlineStr">
        <is>
          <t>رفض رقم ضريبي غير صالح</t>
        </is>
      </c>
      <c r="D41" s="14" t="inlineStr">
        <is>
          <t>—</t>
        </is>
      </c>
      <c r="E41" s="14" t="inlineStr">
        <is>
          <t>1. أدخل الرقم الضريبي 300000000000004 (لا ينتهي بـ 3)
2. كرر بـ 14 رقمًا
3. كرر بـ 200000000000003</t>
        </is>
      </c>
      <c r="F41" s="14" t="inlineStr">
        <is>
          <t>رفض بالرسالة «VAT number: 15 digits, starts and ends with 3» (أو ترجمتها) دون حفظ</t>
        </is>
      </c>
      <c r="G41" s="13" t="inlineStr">
        <is>
          <t>P1</t>
        </is>
      </c>
      <c r="H41" s="14" t="inlineStr">
        <is>
          <t>تحقق من المدخلات</t>
        </is>
      </c>
      <c r="I41" s="13" t="inlineStr">
        <is>
          <t>لم يُختبر</t>
        </is>
      </c>
      <c r="J41" s="14" t="inlineStr"/>
      <c r="K41" s="13" t="inlineStr"/>
      <c r="L41" s="14" t="inlineStr"/>
    </row>
    <row r="42">
      <c r="A42" s="13" t="inlineStr">
        <is>
          <t>TC-A-041</t>
        </is>
      </c>
      <c r="B42" s="14" t="inlineStr">
        <is>
          <t>العملاء</t>
        </is>
      </c>
      <c r="C42" s="15" t="inlineStr">
        <is>
          <t>منع تكرار الرقم الضريبي</t>
        </is>
      </c>
      <c r="D42" s="14" t="inlineStr">
        <is>
          <t>عميل موجود بالرقم 300000000000003</t>
        </is>
      </c>
      <c r="E42" s="14" t="inlineStr">
        <is>
          <t>1. أنشئ عميلًا آخر بنفس الرقم الضريبي</t>
        </is>
      </c>
      <c r="F42" s="14" t="inlineStr">
        <is>
          <t>400 «a party with this VAT number already exists» مع id العميل الموجود ورابط له في الواجهة</t>
        </is>
      </c>
      <c r="G42" s="13" t="inlineStr">
        <is>
          <t>P1</t>
        </is>
      </c>
      <c r="H42" s="14" t="inlineStr">
        <is>
          <t>تحقق من المدخلات</t>
        </is>
      </c>
      <c r="I42" s="13" t="inlineStr">
        <is>
          <t>لم يُختبر</t>
        </is>
      </c>
      <c r="J42" s="14" t="inlineStr"/>
      <c r="K42" s="13" t="inlineStr"/>
      <c r="L42" s="14" t="inlineStr"/>
    </row>
    <row r="43">
      <c r="A43" s="13" t="inlineStr">
        <is>
          <t>TC-A-042</t>
        </is>
      </c>
      <c r="B43" s="14" t="inlineStr">
        <is>
          <t>العملاء</t>
        </is>
      </c>
      <c r="C43" s="15" t="inlineStr">
        <is>
          <t>التحقق من الرقم الموحد</t>
        </is>
      </c>
      <c r="D43" s="14" t="inlineStr">
        <is>
          <t>—</t>
        </is>
      </c>
      <c r="E43" s="14" t="inlineStr">
        <is>
          <t>1. أدخل 6001234567
2. أدخل 700123456 (9 أرقام)
3. أدخل 7001234567</t>
        </is>
      </c>
      <c r="F43" s="14" t="inlineStr">
        <is>
          <t>الأولان مرفوضان «unified number: 10 digits starting with 7»؛ الثالث مقبول</t>
        </is>
      </c>
      <c r="G43" s="13" t="inlineStr">
        <is>
          <t>P1</t>
        </is>
      </c>
      <c r="H43" s="14" t="inlineStr">
        <is>
          <t>تحقق من المدخلات</t>
        </is>
      </c>
      <c r="I43" s="13" t="inlineStr">
        <is>
          <t>لم يُختبر</t>
        </is>
      </c>
      <c r="J43" s="14" t="inlineStr"/>
      <c r="K43" s="13" t="inlineStr"/>
      <c r="L43" s="14" t="inlineStr"/>
    </row>
    <row r="44">
      <c r="A44" s="13" t="inlineStr">
        <is>
          <t>TC-A-043</t>
        </is>
      </c>
      <c r="B44" s="14" t="inlineStr">
        <is>
          <t>العملاء</t>
        </is>
      </c>
      <c r="C44" s="15" t="inlineStr">
        <is>
          <t>تطبيع صيغ الجوال السعودي</t>
        </is>
      </c>
      <c r="D44" s="14" t="inlineStr">
        <is>
          <t>جهة اتصال جديدة</t>
        </is>
      </c>
      <c r="E44" s="14" t="inlineStr">
        <is>
          <t>1. جرّب: 0551234567، 551234567، 966551234567، 00966551234567، +966 55 123 4567، ٠٥٥١٢٣٤٥٦٧</t>
        </is>
      </c>
      <c r="F44" s="14" t="inlineStr">
        <is>
          <t>كلها تُحفظ +966551234567؛ وwhatsapp يأخذ الجوال المطبع إن لم يُدخل</t>
        </is>
      </c>
      <c r="G44" s="13" t="inlineStr">
        <is>
          <t>P1</t>
        </is>
      </c>
      <c r="H44" s="14" t="inlineStr">
        <is>
          <t>تحقق من المدخلات</t>
        </is>
      </c>
      <c r="I44" s="13" t="inlineStr">
        <is>
          <t>لم يُختبر</t>
        </is>
      </c>
      <c r="J44" s="14" t="inlineStr"/>
      <c r="K44" s="13" t="inlineStr"/>
      <c r="L44" s="14" t="inlineStr"/>
    </row>
    <row r="45">
      <c r="A45" s="13" t="inlineStr">
        <is>
          <t>TC-A-044</t>
        </is>
      </c>
      <c r="B45" s="14" t="inlineStr">
        <is>
          <t>العملاء</t>
        </is>
      </c>
      <c r="C45" s="15" t="inlineStr">
        <is>
          <t>البحث بالتطبيع العربي</t>
        </is>
      </c>
      <c r="D45" s="14" t="inlineStr">
        <is>
          <t>عميل «مؤسسة الإبداع للتجارة»</t>
        </is>
      </c>
      <c r="E45" s="14" t="inlineStr">
        <is>
          <t>1. ابحث «الابداع»
2. ابحث «مؤسسه»
3. ابحث بجزء من الجوال 0551234
4. ابحث بالرقم الضريبي بأرقام عربية ٣٠٠٠</t>
        </is>
      </c>
      <c r="F45" s="14" t="inlineStr">
        <is>
          <t>يظهر العميل في كل الحالات (أ/إ/آ→ا، ة→ه، الأرقام العربية→لاتينية)</t>
        </is>
      </c>
      <c r="G45" s="13" t="inlineStr">
        <is>
          <t>P1</t>
        </is>
      </c>
      <c r="H45" s="14" t="inlineStr">
        <is>
          <t>وظيفي</t>
        </is>
      </c>
      <c r="I45" s="13" t="inlineStr">
        <is>
          <t>لم يُختبر</t>
        </is>
      </c>
      <c r="J45" s="14" t="inlineStr"/>
      <c r="K45" s="13" t="inlineStr"/>
      <c r="L45" s="14" t="inlineStr"/>
    </row>
    <row r="46">
      <c r="A46" s="13" t="inlineStr">
        <is>
          <t>TC-A-045</t>
        </is>
      </c>
      <c r="B46" s="14" t="inlineStr">
        <is>
          <t>العملاء</t>
        </is>
      </c>
      <c r="C46" s="15" t="inlineStr">
        <is>
          <t>المندوب يقرأ كل العملاء ويعدل عملاءه فقط</t>
        </is>
      </c>
      <c r="D46" s="14" t="inlineStr">
        <is>
          <t>مندوب A، عميل يملكه مندوب B</t>
        </is>
      </c>
      <c r="E46" s="14" t="inlineStr">
        <is>
          <t>1. افتح قائمة العملاء
2. افتح عميل B وحاول التعديل</t>
        </is>
      </c>
      <c r="F46" s="14" t="inlineStr">
        <is>
          <t>القائمة تعرض كل العملاء (party.read company)؛ التعديل مرفوض 403 (party.write own)</t>
        </is>
      </c>
      <c r="G46" s="13" t="inlineStr">
        <is>
          <t>P1</t>
        </is>
      </c>
      <c r="H46" s="14" t="inlineStr">
        <is>
          <t>صلاحيات</t>
        </is>
      </c>
      <c r="I46" s="13" t="inlineStr">
        <is>
          <t>لم يُختبر</t>
        </is>
      </c>
      <c r="J46" s="14" t="inlineStr"/>
      <c r="K46" s="13" t="inlineStr"/>
      <c r="L46" s="14" t="inlineStr"/>
    </row>
    <row r="47">
      <c r="A47" s="13" t="inlineStr">
        <is>
          <t>TC-A-046</t>
        </is>
      </c>
      <c r="B47" s="14" t="inlineStr">
        <is>
          <t>العملاء</t>
        </is>
      </c>
      <c r="C47" s="15" t="inlineStr">
        <is>
          <t>XSS في اسم العميل</t>
        </is>
      </c>
      <c r="D47" s="14" t="inlineStr">
        <is>
          <t>—</t>
        </is>
      </c>
      <c r="E47" s="14" t="inlineStr">
        <is>
          <t>1. أنشئ عميلًا باسم &lt;img src=x onerror=alert(1)&gt;
2. افتحه وأنشئ له عرضًا واطبع PDF وافتح الرابط العام</t>
        </is>
      </c>
      <c r="F47" s="14" t="inlineStr">
        <is>
          <t>يظهر النص حرفيًا في كل مكان؛ لا يُنفذ سكربت في الواجهة أو PDF أو /q</t>
        </is>
      </c>
      <c r="G47" s="13" t="inlineStr">
        <is>
          <t>P1</t>
        </is>
      </c>
      <c r="H47" s="14" t="inlineStr">
        <is>
          <t>أمان</t>
        </is>
      </c>
      <c r="I47" s="13" t="inlineStr">
        <is>
          <t>لم يُختبر</t>
        </is>
      </c>
      <c r="J47" s="14" t="inlineStr"/>
      <c r="K47" s="13" t="inlineStr"/>
      <c r="L47" s="14" t="inlineStr"/>
    </row>
    <row r="48">
      <c r="A48" s="13" t="inlineStr">
        <is>
          <t>TC-A-047</t>
        </is>
      </c>
      <c r="B48" s="14" t="inlineStr">
        <is>
          <t>العملاء</t>
        </is>
      </c>
      <c r="C48" s="15" t="inlineStr">
        <is>
          <t>العنوان الوطني لموقع العميل</t>
        </is>
      </c>
      <c r="D48" s="14" t="inlineStr">
        <is>
          <t>عميل B2B</t>
        </is>
      </c>
      <c r="E48" s="14" t="inlineStr">
        <is>
          <t>1. أضف موقعًا: رقم المبنى 1234، الشارع، الحي، المدينة، الرمز البريدي 12345، الرقم الإضافي 5678
2. أضف موقعًا آخر برقم مبنى 123 ورمز بريدي 1234</t>
        </is>
      </c>
      <c r="F48" s="14" t="inlineStr">
        <is>
          <t>الأول مكتمل ويُعرض منسقًا «1234، الشارع، الحي، المدينة، 12345، (5678)»؛ الثاني يُظهر تنبيه نقص العنوان (buildingNumber/postalCode) لأنه مطلوب لفواتير B2B</t>
        </is>
      </c>
      <c r="G48" s="13" t="inlineStr">
        <is>
          <t>P2</t>
        </is>
      </c>
      <c r="H48" s="14" t="inlineStr">
        <is>
          <t>تحقق من المدخلات</t>
        </is>
      </c>
      <c r="I48" s="13" t="inlineStr">
        <is>
          <t>لم يُختبر</t>
        </is>
      </c>
      <c r="J48" s="14" t="inlineStr"/>
      <c r="K48" s="13" t="inlineStr"/>
      <c r="L48" s="14" t="inlineStr"/>
    </row>
    <row r="49">
      <c r="A49" s="13" t="inlineStr">
        <is>
          <t>TC-A-048</t>
        </is>
      </c>
      <c r="B49" s="14" t="inlineStr">
        <is>
          <t>العملاء</t>
        </is>
      </c>
      <c r="C49" s="15" t="inlineStr">
        <is>
          <t>إضافة جهة اتصال أساسية تلغي الأساسية السابقة</t>
        </is>
      </c>
      <c r="D49" s="14" t="inlineStr">
        <is>
          <t>عميل له جهة اتصال أساسية</t>
        </is>
      </c>
      <c r="E49" s="14" t="inlineStr">
        <is>
          <t>1. أضف جهة اتصال جديدة مع isPrimary=true</t>
        </is>
      </c>
      <c r="F49" s="14" t="inlineStr">
        <is>
          <t>تصبح الجديدة الأساسية وحدها وتظهر أولًا</t>
        </is>
      </c>
      <c r="G49" s="13" t="inlineStr">
        <is>
          <t>P2</t>
        </is>
      </c>
      <c r="H49" s="14" t="inlineStr">
        <is>
          <t>وظيفي</t>
        </is>
      </c>
      <c r="I49" s="13" t="inlineStr">
        <is>
          <t>لم يُختبر</t>
        </is>
      </c>
      <c r="J49" s="14" t="inlineStr"/>
      <c r="K49" s="13" t="inlineStr"/>
      <c r="L49" s="14" t="inlineStr"/>
    </row>
    <row r="50">
      <c r="A50" s="13" t="inlineStr">
        <is>
          <t>TC-A-049</t>
        </is>
      </c>
      <c r="B50" s="14" t="inlineStr">
        <is>
          <t>العملاء</t>
        </is>
      </c>
      <c r="C50" s="15" t="inlineStr">
        <is>
          <t>تعديل العميل يسجل الفرق في التدقيق</t>
        </is>
      </c>
      <c r="D50" s="14" t="inlineStr">
        <is>
          <t>عميل موجود</t>
        </is>
      </c>
      <c r="E50" s="14" t="inlineStr">
        <is>
          <t>1. عدّل الاسم والجوال واحفظ
2. افتح سجل التدقيق</t>
        </is>
      </c>
      <c r="F50" s="14" t="inlineStr">
        <is>
          <t>سجل update بقيم before/after للحقول المتغيرة فقط؛ version يزيد 1</t>
        </is>
      </c>
      <c r="G50" s="13" t="inlineStr">
        <is>
          <t>P2</t>
        </is>
      </c>
      <c r="H50" s="14" t="inlineStr">
        <is>
          <t>وظيفي</t>
        </is>
      </c>
      <c r="I50" s="13" t="inlineStr">
        <is>
          <t>لم يُختبر</t>
        </is>
      </c>
      <c r="J50" s="14" t="inlineStr"/>
      <c r="K50" s="13" t="inlineStr"/>
      <c r="L50" s="14" t="inlineStr"/>
    </row>
    <row r="51">
      <c r="A51" s="13" t="inlineStr">
        <is>
          <t>TC-A-050</t>
        </is>
      </c>
      <c r="B51" s="14" t="inlineStr">
        <is>
          <t>العملاء</t>
        </is>
      </c>
      <c r="C51" s="15" t="inlineStr">
        <is>
          <t>أرشفة العميل</t>
        </is>
      </c>
      <c r="D51" s="14" t="inlineStr">
        <is>
          <t>عميل دون عروض مفتوحة</t>
        </is>
      </c>
      <c r="E51" s="14" t="inlineStr">
        <is>
          <t>1. أرشف العميل
2. ابحث عنه
3. فعّل فلتر «المؤرشفون»</t>
        </is>
      </c>
      <c r="F51" s="14" t="inlineStr">
        <is>
          <t>يختفي من القائمة الافتراضية ويظهر مع archived=true؛ audit archive</t>
        </is>
      </c>
      <c r="G51" s="13" t="inlineStr">
        <is>
          <t>P2</t>
        </is>
      </c>
      <c r="H51" s="14" t="inlineStr">
        <is>
          <t>وظيفي</t>
        </is>
      </c>
      <c r="I51" s="13" t="inlineStr">
        <is>
          <t>لم يُختبر</t>
        </is>
      </c>
      <c r="J51" s="14" t="inlineStr"/>
      <c r="K51" s="13" t="inlineStr"/>
      <c r="L51" s="14" t="inlineStr"/>
    </row>
    <row r="52">
      <c r="A52" s="13" t="inlineStr">
        <is>
          <t>TC-A-051</t>
        </is>
      </c>
      <c r="B52" s="14" t="inlineStr">
        <is>
          <t>العملاء</t>
        </is>
      </c>
      <c r="C52" s="15" t="inlineStr">
        <is>
          <t>صفحة العميل تجمع العروض والعقود والرصيد</t>
        </is>
      </c>
      <c r="D52" s="14" t="inlineStr">
        <is>
          <t>عميل له عروض وعقد وفاتورة</t>
        </is>
      </c>
      <c r="E52" s="14" t="inlineStr">
        <is>
          <t>1. افتح صفحة العميل</t>
        </is>
      </c>
      <c r="F52" s="14" t="inlineStr">
        <is>
          <t>تظهر عروضه وعقوده وفرصه ونشاطاته وفواتيره والرصيد المستحق؛ القوائم مقيدة بنطاق صلاحيات المستخدم</t>
        </is>
      </c>
      <c r="G52" s="13" t="inlineStr">
        <is>
          <t>P2</t>
        </is>
      </c>
      <c r="H52" s="14" t="inlineStr">
        <is>
          <t>تكامل</t>
        </is>
      </c>
      <c r="I52" s="13" t="inlineStr">
        <is>
          <t>لم يُختبر</t>
        </is>
      </c>
      <c r="J52" s="14" t="inlineStr"/>
      <c r="K52" s="13" t="inlineStr"/>
      <c r="L52" s="14" t="inlineStr"/>
    </row>
    <row r="53">
      <c r="A53" s="13" t="inlineStr">
        <is>
          <t>TC-A-052</t>
        </is>
      </c>
      <c r="B53" s="14" t="inlineStr">
        <is>
          <t>العملاء</t>
        </is>
      </c>
      <c r="C53" s="15" t="inlineStr">
        <is>
          <t>جوال غير سعودي أو غير صالح</t>
        </is>
      </c>
      <c r="D53" s="14" t="inlineStr">
        <is>
          <t>—</t>
        </is>
      </c>
      <c r="E53" s="14" t="inlineStr">
        <is>
          <t>1. جهة اتصال بجوال 0441234567
2. عميل بهاتف +971501234567
3. هاتف 12345</t>
        </is>
      </c>
      <c r="F53" s="14" t="inlineStr">
        <is>
          <t>0441234567 يُحفظ كما أُدخل (ليس جوالًا سعوديًا)؛ +971501234567 يُحفظ كما هو؛ 12345 (أقل من 8 أرقام) يُحفظ دون تطبيع — يجب ألا تُرسل له رسائل</t>
        </is>
      </c>
      <c r="G53" s="13" t="inlineStr">
        <is>
          <t>P3</t>
        </is>
      </c>
      <c r="H53" s="14" t="inlineStr">
        <is>
          <t>حالات حدّية</t>
        </is>
      </c>
      <c r="I53" s="13" t="inlineStr">
        <is>
          <t>لم يُختبر</t>
        </is>
      </c>
      <c r="J53" s="14" t="inlineStr"/>
      <c r="K53" s="13" t="inlineStr"/>
      <c r="L53" s="14" t="inlineStr"/>
    </row>
    <row r="54">
      <c r="A54" s="13" t="inlineStr">
        <is>
          <t>TC-A-053</t>
        </is>
      </c>
      <c r="B54" s="14" t="inlineStr">
        <is>
          <t>العملاء</t>
        </is>
      </c>
      <c r="C54" s="15" t="inlineStr">
        <is>
          <t>البحث بالجوال بصيغة مختلفة عن المحفوظة</t>
        </is>
      </c>
      <c r="D54" s="14" t="inlineStr">
        <is>
          <t>عميل جواله +966551234567</t>
        </is>
      </c>
      <c r="E54" s="14" t="inlineStr">
        <is>
          <t>1. ابحث «551234567»</t>
        </is>
      </c>
      <c r="F54" s="14" t="inlineStr">
        <is>
          <t>يظهر العميل (searchText يحوي الهاتف)</t>
        </is>
      </c>
      <c r="G54" s="13" t="inlineStr">
        <is>
          <t>P3</t>
        </is>
      </c>
      <c r="H54" s="14" t="inlineStr">
        <is>
          <t>حالات حدّية</t>
        </is>
      </c>
      <c r="I54" s="13" t="inlineStr">
        <is>
          <t>لم يُختبر</t>
        </is>
      </c>
      <c r="J54" s="14" t="inlineStr"/>
      <c r="K54" s="13" t="inlineStr"/>
      <c r="L54" s="14" t="inlineStr"/>
    </row>
    <row r="55">
      <c r="A55" s="13" t="inlineStr">
        <is>
          <t>TC-A-054</t>
        </is>
      </c>
      <c r="B55" s="14" t="inlineStr">
        <is>
          <t>العملاء</t>
        </is>
      </c>
      <c r="C55" s="15" t="inlineStr">
        <is>
          <t>موافقة PDPL على التواصل</t>
        </is>
      </c>
      <c r="D55" s="14" t="inlineStr">
        <is>
          <t>جهة اتصال</t>
        </is>
      </c>
      <c r="E55" s="14" t="inlineStr">
        <is>
          <t>1. سجّل موافقة whatsapp/marketing بحالة granted
2. ثم سحب withdrawn</t>
        </is>
      </c>
      <c r="F55" s="14" t="inlineStr">
        <is>
          <t>تُسجل الموافقة ثم السحب مع withdrawnAt وسجل audit consent_withdrawn</t>
        </is>
      </c>
      <c r="G55" s="13" t="inlineStr">
        <is>
          <t>P3</t>
        </is>
      </c>
      <c r="H55" s="14" t="inlineStr">
        <is>
          <t>وظيفي</t>
        </is>
      </c>
      <c r="I55" s="13" t="inlineStr">
        <is>
          <t>لم يُختبر</t>
        </is>
      </c>
      <c r="J55" s="14" t="inlineStr"/>
      <c r="K55" s="13" t="inlineStr"/>
      <c r="L55" s="14" t="inlineStr"/>
    </row>
    <row r="56">
      <c r="A56" s="13" t="inlineStr">
        <is>
          <t>TC-A-055</t>
        </is>
      </c>
      <c r="B56" s="14" t="inlineStr">
        <is>
          <t>العملاء</t>
        </is>
      </c>
      <c r="C56" s="15" t="inlineStr">
        <is>
          <t>ربط العميل بقائمة أسعار مؤرشفة</t>
        </is>
      </c>
      <c r="D56" s="14" t="inlineStr">
        <is>
          <t>قائمة أسعار مؤرشفة</t>
        </is>
      </c>
      <c r="E56" s="14" t="inlineStr">
        <is>
          <t>1. عدّل العميل واختر priceListId للقائمة المؤرشفة</t>
        </is>
      </c>
      <c r="F56" s="14" t="inlineStr">
        <is>
          <t>400 «unknown or archived price list»</t>
        </is>
      </c>
      <c r="G56" s="13" t="inlineStr">
        <is>
          <t>P3</t>
        </is>
      </c>
      <c r="H56" s="14" t="inlineStr">
        <is>
          <t>تحقق من المدخلات</t>
        </is>
      </c>
      <c r="I56" s="13" t="inlineStr">
        <is>
          <t>لم يُختبر</t>
        </is>
      </c>
      <c r="J56" s="14" t="inlineStr"/>
      <c r="K56" s="13" t="inlineStr"/>
      <c r="L56" s="14" t="inlineStr"/>
    </row>
    <row r="57">
      <c r="A57" s="13" t="inlineStr">
        <is>
          <t>TC-A-056</t>
        </is>
      </c>
      <c r="B57" s="14" t="inlineStr">
        <is>
          <t>العملاء</t>
        </is>
      </c>
      <c r="C57" s="15" t="inlineStr">
        <is>
          <t>مدة الدفع 0–365 يومًا</t>
        </is>
      </c>
      <c r="D57" s="14" t="inlineStr">
        <is>
          <t>—</t>
        </is>
      </c>
      <c r="E57" s="14" t="inlineStr">
        <is>
          <t>1. احفظ paymentTermsDays = 366
2. ثم 365</t>
        </is>
      </c>
      <c r="F57" s="14" t="inlineStr">
        <is>
          <t>366 مرفوض، 365 مقبول</t>
        </is>
      </c>
      <c r="G57" s="13" t="inlineStr">
        <is>
          <t>P3</t>
        </is>
      </c>
      <c r="H57" s="14" t="inlineStr">
        <is>
          <t>حالات حدّية</t>
        </is>
      </c>
      <c r="I57" s="13" t="inlineStr">
        <is>
          <t>لم يُختبر</t>
        </is>
      </c>
      <c r="J57" s="14" t="inlineStr"/>
      <c r="K57" s="13" t="inlineStr"/>
      <c r="L57" s="14" t="inlineStr"/>
    </row>
    <row r="58">
      <c r="A58" s="13" t="inlineStr">
        <is>
          <t>TC-A-057</t>
        </is>
      </c>
      <c r="B58" s="14" t="inlineStr">
        <is>
          <t>المنتجات وقوائم الأسعار والباقات</t>
        </is>
      </c>
      <c r="C58" s="15" t="inlineStr">
        <is>
          <t>إنشاء منتج جديد</t>
        </is>
      </c>
      <c r="D58" s="14" t="inlineStr">
        <is>
          <t>مستخدم product.write (مالك/مشتريات)</t>
        </is>
      </c>
      <c r="E58" s="14" t="inlineStr">
        <is>
          <t>1. المنتجات ← منتج جديد: الكود DS-1000، الاسم، سعر البيع 450، التركيب 75، سعر الشراء 60 USD، سعر التحويل 3.75
2. احفظ</t>
        </is>
      </c>
      <c r="F58" s="14" t="inlineStr">
        <is>
          <t>يُحفظ المنتج ويظهر في الكتالوج؛ audit create</t>
        </is>
      </c>
      <c r="G58" s="13" t="inlineStr">
        <is>
          <t>P1</t>
        </is>
      </c>
      <c r="H58" s="14" t="inlineStr">
        <is>
          <t>وظيفي</t>
        </is>
      </c>
      <c r="I58" s="13" t="inlineStr">
        <is>
          <t>لم يُختبر</t>
        </is>
      </c>
      <c r="J58" s="14" t="inlineStr"/>
      <c r="K58" s="13" t="inlineStr"/>
      <c r="L58" s="14" t="inlineStr"/>
    </row>
    <row r="59">
      <c r="A59" s="13" t="inlineStr">
        <is>
          <t>TC-A-058</t>
        </is>
      </c>
      <c r="B59" s="14" t="inlineStr">
        <is>
          <t>المنتجات وقوائم الأسعار والباقات</t>
        </is>
      </c>
      <c r="C59" s="15" t="inlineStr">
        <is>
          <t>كود منتج مكرر</t>
        </is>
      </c>
      <c r="D59" s="14" t="inlineStr">
        <is>
          <t>منتج DS-1000 موجود</t>
        </is>
      </c>
      <c r="E59" s="14" t="inlineStr">
        <is>
          <t>1. أنشئ منتجًا جديدًا بنفس الكود</t>
        </is>
      </c>
      <c r="F59" s="14" t="inlineStr">
        <is>
          <t>400 «product code DS-1000 already exists»</t>
        </is>
      </c>
      <c r="G59" s="13" t="inlineStr">
        <is>
          <t>P1</t>
        </is>
      </c>
      <c r="H59" s="14" t="inlineStr">
        <is>
          <t>تحقق من المدخلات</t>
        </is>
      </c>
      <c r="I59" s="13" t="inlineStr">
        <is>
          <t>لم يُختبر</t>
        </is>
      </c>
      <c r="J59" s="14" t="inlineStr"/>
      <c r="K59" s="13" t="inlineStr"/>
      <c r="L59" s="14" t="inlineStr"/>
    </row>
    <row r="60">
      <c r="A60" s="13" t="inlineStr">
        <is>
          <t>TC-A-059</t>
        </is>
      </c>
      <c r="B60" s="14" t="inlineStr">
        <is>
          <t>المنتجات وقوائم الأسعار والباقات</t>
        </is>
      </c>
      <c r="C60" s="15" t="inlineStr">
        <is>
          <t>إخفاء التكلفة عمن لا يملك product.cost.read</t>
        </is>
      </c>
      <c r="D60" s="14" t="inlineStr">
        <is>
          <t>حساب sales_rep</t>
        </is>
      </c>
      <c r="E60" s="14" t="inlineStr">
        <is>
          <t>1. افتح المنتجات وتفاصيل منتج
2. استدعِ GET /api/products و/api/products/{id} و/api/products/{id}/kit
3. نزّل Excel</t>
        </is>
      </c>
      <c r="F60" s="14" t="inlineStr">
        <is>
          <t>costPrice وcostRateToSar = null في كل الردود؛ لا أعمدة شراء في الواجهة؛ ملف Excel بدون أعمدة سعر الشراء/العملة/التحويل</t>
        </is>
      </c>
      <c r="G60" s="13" t="inlineStr">
        <is>
          <t>P1</t>
        </is>
      </c>
      <c r="H60" s="14" t="inlineStr">
        <is>
          <t>صلاحيات</t>
        </is>
      </c>
      <c r="I60" s="13" t="inlineStr">
        <is>
          <t>لم يُختبر</t>
        </is>
      </c>
      <c r="J60" s="14" t="inlineStr"/>
      <c r="K60" s="13" t="inlineStr"/>
      <c r="L60" s="14" t="inlineStr"/>
    </row>
    <row r="61">
      <c r="A61" s="13" t="inlineStr">
        <is>
          <t>TC-A-060</t>
        </is>
      </c>
      <c r="B61" s="14" t="inlineStr">
        <is>
          <t>المنتجات وقوائم الأسعار والباقات</t>
        </is>
      </c>
      <c r="C61" s="15" t="inlineStr">
        <is>
          <t>رفع صورة منتج صالحة</t>
        </is>
      </c>
      <c r="D61" s="14" t="inlineStr">
        <is>
          <t>منتج موجود</t>
        </is>
      </c>
      <c r="E61" s="14" t="inlineStr">
        <is>
          <t>1. ارفع صورة JPEG 1MB</t>
        </is>
      </c>
      <c r="F61" s="14" t="inlineStr">
        <is>
          <t>تُحفظ وتظهر في الكتالوج وفي العرض وPDF والصفحة العامة؛ audit image</t>
        </is>
      </c>
      <c r="G61" s="13" t="inlineStr">
        <is>
          <t>P1</t>
        </is>
      </c>
      <c r="H61" s="14" t="inlineStr">
        <is>
          <t>وظيفي</t>
        </is>
      </c>
      <c r="I61" s="13" t="inlineStr">
        <is>
          <t>لم يُختبر</t>
        </is>
      </c>
      <c r="J61" s="14" t="inlineStr"/>
      <c r="K61" s="13" t="inlineStr"/>
      <c r="L61" s="14" t="inlineStr"/>
    </row>
    <row r="62">
      <c r="A62" s="13" t="inlineStr">
        <is>
          <t>TC-A-061</t>
        </is>
      </c>
      <c r="B62" s="14" t="inlineStr">
        <is>
          <t>المنتجات وقوائم الأسعار والباقات</t>
        </is>
      </c>
      <c r="C62" s="15" t="inlineStr">
        <is>
          <t>تنزيل قالب Excel</t>
        </is>
      </c>
      <c r="D62" s="14" t="inlineStr">
        <is>
          <t>مالك</t>
        </is>
      </c>
      <c r="E62" s="14" t="inlineStr">
        <is>
          <t>1. المنتجات ← «تنزيل Excel (القالب)»</t>
        </is>
      </c>
      <c r="F62" s="14" t="inlineStr">
        <is>
          <t>ملف .xlsx بورقة «المنتجات» RTL، صف عناوين ثنائي اللغة، قوائم منسدلة للنوع/الحالة/العملة، كل المنتجات صف لكل منتج</t>
        </is>
      </c>
      <c r="G62" s="13" t="inlineStr">
        <is>
          <t>P1</t>
        </is>
      </c>
      <c r="H62" s="14" t="inlineStr">
        <is>
          <t>وظيفي</t>
        </is>
      </c>
      <c r="I62" s="13" t="inlineStr">
        <is>
          <t>لم يُختبر</t>
        </is>
      </c>
      <c r="J62" s="14" t="inlineStr"/>
      <c r="K62" s="13" t="inlineStr"/>
      <c r="L62" s="14" t="inlineStr"/>
    </row>
    <row r="63">
      <c r="A63" s="13" t="inlineStr">
        <is>
          <t>TC-A-062</t>
        </is>
      </c>
      <c r="B63" s="14" t="inlineStr">
        <is>
          <t>المنتجات وقوائم الأسعار والباقات</t>
        </is>
      </c>
      <c r="C63" s="15" t="inlineStr">
        <is>
          <t>رفع Excel مع معاينة ثم تطبيق</t>
        </is>
      </c>
      <c r="D63" s="14" t="inlineStr">
        <is>
          <t>قالب منزّل</t>
        </is>
      </c>
      <c r="E63" s="14" t="inlineStr">
        <is>
          <t>1. أضف صفًا بكود جديد وعدّل سعر منتج قائم
2. ارفع الملف (apply=false)
3. راجع المعاينة
4. اضغط «تطبيق التغييرات»
5. ارفع الملف نفسه مرة أخرى</t>
        </is>
      </c>
      <c r="F63" s="14" t="inlineStr">
        <is>
          <t>المعاينة: created=1، updated=1 مع from/to للحقل؛ لا حفظ قبل التطبيق؛ بعد التطبيق يُحفظ؛ الرفع الثاني: created=0، updated=0، unchanged=الكل</t>
        </is>
      </c>
      <c r="G63" s="13" t="inlineStr">
        <is>
          <t>P1</t>
        </is>
      </c>
      <c r="H63" s="14" t="inlineStr">
        <is>
          <t>وظيفي</t>
        </is>
      </c>
      <c r="I63" s="13" t="inlineStr">
        <is>
          <t>لم يُختبر</t>
        </is>
      </c>
      <c r="J63" s="14" t="inlineStr"/>
      <c r="K63" s="13" t="inlineStr"/>
      <c r="L63" s="14" t="inlineStr"/>
    </row>
    <row r="64">
      <c r="A64" s="13" t="inlineStr">
        <is>
          <t>TC-A-063</t>
        </is>
      </c>
      <c r="B64" s="14" t="inlineStr">
        <is>
          <t>المنتجات وقوائم الأسعار والباقات</t>
        </is>
      </c>
      <c r="C64" s="15" t="inlineStr">
        <is>
          <t>أخطاء Excel تمنع التطبيق كله</t>
        </is>
      </c>
      <c r="D64" s="14" t="inlineStr">
        <is>
          <t>قالب</t>
        </is>
      </c>
      <c r="E64" s="14" t="inlineStr">
        <is>
          <t>1. اجعل كودين متكررين، واسمًا عربيًا فارغًا لمنتج، وسعر «abc»، ونوعًا خارج القائمة
2. ارفع</t>
        </is>
      </c>
      <c r="F64" s="14" t="inlineStr">
        <is>
          <t>رسالة «the file has errors — fix them and upload again» مع أخطاء لكل صف: «الكود مكرر في الملف»، «الاسم بالعربية مطلوب»، «قيمة غير صحيحة «abc»»، «ليست من القائمة»؛ لا يُحفظ شيء</t>
        </is>
      </c>
      <c r="G64" s="13" t="inlineStr">
        <is>
          <t>P1</t>
        </is>
      </c>
      <c r="H64" s="14" t="inlineStr">
        <is>
          <t>تحقق من المدخلات</t>
        </is>
      </c>
      <c r="I64" s="13" t="inlineStr">
        <is>
          <t>لم يُختبر</t>
        </is>
      </c>
      <c r="J64" s="14" t="inlineStr"/>
      <c r="K64" s="13" t="inlineStr"/>
      <c r="L64" s="14" t="inlineStr"/>
    </row>
    <row r="65">
      <c r="A65" s="13" t="inlineStr">
        <is>
          <t>TC-A-064</t>
        </is>
      </c>
      <c r="B65" s="14" t="inlineStr">
        <is>
          <t>المنتجات وقوائم الأسعار والباقات</t>
        </is>
      </c>
      <c r="C65" s="15" t="inlineStr">
        <is>
          <t>قائمة أسعار خاصة مرتبطة بعميل</t>
        </is>
      </c>
      <c r="D65" s="14" t="inlineStr">
        <is>
          <t>منتج سعره 450</t>
        </is>
      </c>
      <c r="E65" s="14" t="inlineStr">
        <is>
          <t>1. قوائم الأسعار ← جديدة «VIP» بسعر 400 للمنتج
2. اربطها بالعميل
3. أنشئ عرضًا للعميل وأضف المنتج</t>
        </is>
      </c>
      <c r="F65" s="14" t="inlineStr">
        <is>
          <t>سعر البند 400 مع سعر القائمة 450 مشطوبًا؛ priceListId محفوظ على العرض</t>
        </is>
      </c>
      <c r="G65" s="13" t="inlineStr">
        <is>
          <t>P1</t>
        </is>
      </c>
      <c r="H65" s="14" t="inlineStr">
        <is>
          <t>تكامل</t>
        </is>
      </c>
      <c r="I65" s="13" t="inlineStr">
        <is>
          <t>لم يُختبر</t>
        </is>
      </c>
      <c r="J65" s="14" t="inlineStr"/>
      <c r="K65" s="13" t="inlineStr"/>
      <c r="L65" s="14" t="inlineStr"/>
    </row>
    <row r="66">
      <c r="A66" s="13" t="inlineStr">
        <is>
          <t>TC-A-065</t>
        </is>
      </c>
      <c r="B66" s="14" t="inlineStr">
        <is>
          <t>المنتجات وقوائم الأسعار والباقات</t>
        </is>
      </c>
      <c r="C66" s="15" t="inlineStr">
        <is>
          <t>رفض صورة أكبر من 3MB أو بنوع مزيف</t>
        </is>
      </c>
      <c r="D66" s="14" t="inlineStr">
        <is>
          <t>—</t>
        </is>
      </c>
      <c r="E66" s="14" t="inlineStr">
        <is>
          <t>1. ارفع PNG حجمه 3.2MB
2. ارفع ملف نصي بامتداد .png
3. ارفع GIF</t>
        </is>
      </c>
      <c r="F66" s="14" t="inlineStr">
        <is>
          <t>«image larger than 3 MB»؛ «the file content is not image/png» (فحص البصمة)؛ GIF مرفوض (jpeg/png/webp فقط)</t>
        </is>
      </c>
      <c r="G66" s="13" t="inlineStr">
        <is>
          <t>P2</t>
        </is>
      </c>
      <c r="H66" s="14" t="inlineStr">
        <is>
          <t>تحقق من المدخلات</t>
        </is>
      </c>
      <c r="I66" s="13" t="inlineStr">
        <is>
          <t>لم يُختبر</t>
        </is>
      </c>
      <c r="J66" s="14" t="inlineStr"/>
      <c r="K66" s="13" t="inlineStr"/>
      <c r="L66" s="14" t="inlineStr"/>
    </row>
    <row r="67">
      <c r="A67" s="13" t="inlineStr">
        <is>
          <t>TC-A-066</t>
        </is>
      </c>
      <c r="B67" s="14" t="inlineStr">
        <is>
          <t>المنتجات وقوائم الأسعار والباقات</t>
        </is>
      </c>
      <c r="C67" s="15" t="inlineStr">
        <is>
          <t>صف INS في Excel يُتجاهل بتحذير</t>
        </is>
      </c>
      <c r="D67" s="14" t="inlineStr">
        <is>
          <t>قالب فيه صف بكود INS</t>
        </is>
      </c>
      <c r="E67" s="14" t="inlineStr">
        <is>
          <t>1. ارفع</t>
        </is>
      </c>
      <c r="F67" s="14" t="inlineStr">
        <is>
          <t>تحذير «صف التركيب INS يُحسب تلقائيًا — تم تجاهله» ولا يُنشأ منتج INS</t>
        </is>
      </c>
      <c r="G67" s="13" t="inlineStr">
        <is>
          <t>P2</t>
        </is>
      </c>
      <c r="H67" s="14" t="inlineStr">
        <is>
          <t>حالات حدّية</t>
        </is>
      </c>
      <c r="I67" s="13" t="inlineStr">
        <is>
          <t>لم يُختبر</t>
        </is>
      </c>
      <c r="J67" s="14" t="inlineStr"/>
      <c r="K67" s="13" t="inlineStr"/>
      <c r="L67" s="14" t="inlineStr"/>
    </row>
    <row r="68">
      <c r="A68" s="13" t="inlineStr">
        <is>
          <t>TC-A-067</t>
        </is>
      </c>
      <c r="B68" s="14" t="inlineStr">
        <is>
          <t>المنتجات وقوائم الأسعار والباقات</t>
        </is>
      </c>
      <c r="C68" s="15" t="inlineStr">
        <is>
          <t>حدود ملف Excel</t>
        </is>
      </c>
      <c r="D68" s="14" t="inlineStr">
        <is>
          <t>—</t>
        </is>
      </c>
      <c r="E68" s="14" t="inlineStr">
        <is>
          <t>1. ارفع ملفًا &gt; 10MB
2. ارفع ملفًا بـ 5001 صف
3. ارفع ملف PDF بامتداد xlsx
4. ارفع ورقة دون عمود الكود</t>
        </is>
      </c>
      <c r="F68" s="14" t="inlineStr">
        <is>
          <t>«file larger than 10 MB»؛ «at most 5,000 rows per upload»؛ «the file is not a valid Excel (.xlsx) workbook»؛ «the sheet has no code column»</t>
        </is>
      </c>
      <c r="G68" s="13" t="inlineStr">
        <is>
          <t>P2</t>
        </is>
      </c>
      <c r="H68" s="14" t="inlineStr">
        <is>
          <t>حالات حدّية</t>
        </is>
      </c>
      <c r="I68" s="13" t="inlineStr">
        <is>
          <t>لم يُختبر</t>
        </is>
      </c>
      <c r="J68" s="14" t="inlineStr"/>
      <c r="K68" s="13" t="inlineStr"/>
      <c r="L68" s="14" t="inlineStr"/>
    </row>
    <row r="69">
      <c r="A69" s="13" t="inlineStr">
        <is>
          <t>TC-A-068</t>
        </is>
      </c>
      <c r="B69" s="14" t="inlineStr">
        <is>
          <t>المنتجات وقوائم الأسعار والباقات</t>
        </is>
      </c>
      <c r="C69" s="15" t="inlineStr">
        <is>
          <t>عمود محذوف من Excel لا يغير الحقل</t>
        </is>
      </c>
      <c r="D69" s="14" t="inlineStr">
        <is>
          <t>قالب</t>
        </is>
      </c>
      <c r="E69" s="14" t="inlineStr">
        <is>
          <t>1. احذف عمود «تكلفة التركيب» وعدّل السعر فقط
2. ارفع وطبّق</t>
        </is>
      </c>
      <c r="F69" s="14" t="inlineStr">
        <is>
          <t>يتحدث السعر وتبقى تكلفة التركيب كما هي</t>
        </is>
      </c>
      <c r="G69" s="13" t="inlineStr">
        <is>
          <t>P2</t>
        </is>
      </c>
      <c r="H69" s="14" t="inlineStr">
        <is>
          <t>حالات حدّية</t>
        </is>
      </c>
      <c r="I69" s="13" t="inlineStr">
        <is>
          <t>لم يُختبر</t>
        </is>
      </c>
      <c r="J69" s="14" t="inlineStr"/>
      <c r="K69" s="13" t="inlineStr"/>
      <c r="L69" s="14" t="inlineStr"/>
    </row>
    <row r="70">
      <c r="A70" s="13" t="inlineStr">
        <is>
          <t>TC-A-069</t>
        </is>
      </c>
      <c r="B70" s="14" t="inlineStr">
        <is>
          <t>المنتجات وقوائم الأسعار والباقات</t>
        </is>
      </c>
      <c r="C70" s="15" t="inlineStr">
        <is>
          <t>مندوب بدون صلاحية التكلفة يرفع Excel</t>
        </is>
      </c>
      <c r="D70" s="14" t="inlineStr">
        <is>
          <t>مستخدم product.write بدون product.cost.read</t>
        </is>
      </c>
      <c r="E70" s="14" t="inlineStr">
        <is>
          <t>1. ارفع ملفًا يعدّل سعر الشراء</t>
        </is>
      </c>
      <c r="F70" s="14" t="inlineStr">
        <is>
          <t>أعمدة التكلفة لا تُقرأ/لا تُعرض؛ في المعاينة قيمة from لسعر الشراء = null</t>
        </is>
      </c>
      <c r="G70" s="13" t="inlineStr">
        <is>
          <t>P2</t>
        </is>
      </c>
      <c r="H70" s="14" t="inlineStr">
        <is>
          <t>صلاحيات</t>
        </is>
      </c>
      <c r="I70" s="13" t="inlineStr">
        <is>
          <t>لم يُختبر</t>
        </is>
      </c>
      <c r="J70" s="14" t="inlineStr"/>
      <c r="K70" s="13" t="inlineStr"/>
      <c r="L70" s="14" t="inlineStr"/>
    </row>
    <row r="71">
      <c r="A71" s="13" t="inlineStr">
        <is>
          <t>TC-A-070</t>
        </is>
      </c>
      <c r="B71" s="14" t="inlineStr">
        <is>
          <t>المنتجات وقوائم الأسعار والباقات</t>
        </is>
      </c>
      <c r="C71" s="15" t="inlineStr">
        <is>
          <t>استيراد CSV من الشيت القديم</t>
        </is>
      </c>
      <c r="D71" s="14" t="inlineStr">
        <is>
          <t>نص CSV: A كود، B وصف «عربي | English»، C سعر، D تركيب، E تكلفة USD</t>
        </is>
      </c>
      <c r="E71" s="14" t="inlineStr">
        <is>
          <t>1. المنتجات ← استيراد CSV ← الصق أسطرًا تتضمن «7" Indoor» وصف INS
2. معاينة ثم استيراد</t>
        </is>
      </c>
      <c r="F71" s="14" t="inlineStr">
        <is>
          <t>يُقسم الوصف عند | إلى nameAr/nameEn؛ علامة " داخل النص لا تكسر التحليل؛ صف INS يُتجاهل؛ costCurrency=USD</t>
        </is>
      </c>
      <c r="G71" s="13" t="inlineStr">
        <is>
          <t>P2</t>
        </is>
      </c>
      <c r="H71" s="14" t="inlineStr">
        <is>
          <t>وظيفي</t>
        </is>
      </c>
      <c r="I71" s="13" t="inlineStr">
        <is>
          <t>لم يُختبر</t>
        </is>
      </c>
      <c r="J71" s="14" t="inlineStr"/>
      <c r="K71" s="13" t="inlineStr"/>
      <c r="L71" s="14" t="inlineStr"/>
    </row>
    <row r="72">
      <c r="A72" s="13" t="inlineStr">
        <is>
          <t>TC-A-071</t>
        </is>
      </c>
      <c r="B72" s="14" t="inlineStr">
        <is>
          <t>المنتجات وقوائم الأسعار والباقات</t>
        </is>
      </c>
      <c r="C72" s="15" t="inlineStr">
        <is>
          <t>إنشاء باقة (kit)</t>
        </is>
      </c>
      <c r="D72" s="14" t="inlineStr">
        <is>
          <t>3 منتجات</t>
        </is>
      </c>
      <c r="E72" s="14" t="inlineStr">
        <is>
          <t>1. افتح منتجًا ← المكونات ← أضف منتجين بكميات 2 و1 وواحدًا اختياريًا
2. احفظ</t>
        </is>
      </c>
      <c r="F72" s="14" t="inlineStr">
        <is>
          <t>يتحول النوع إلى kit ويظهر شارة «باقة» في الكتالوج؛ audit kit</t>
        </is>
      </c>
      <c r="G72" s="13" t="inlineStr">
        <is>
          <t>P2</t>
        </is>
      </c>
      <c r="H72" s="14" t="inlineStr">
        <is>
          <t>وظيفي</t>
        </is>
      </c>
      <c r="I72" s="13" t="inlineStr">
        <is>
          <t>لم يُختبر</t>
        </is>
      </c>
      <c r="J72" s="14" t="inlineStr"/>
      <c r="K72" s="13" t="inlineStr"/>
      <c r="L72" s="14" t="inlineStr"/>
    </row>
    <row r="73">
      <c r="A73" s="13" t="inlineStr">
        <is>
          <t>TC-A-072</t>
        </is>
      </c>
      <c r="B73" s="14" t="inlineStr">
        <is>
          <t>المنتجات وقوائم الأسعار والباقات</t>
        </is>
      </c>
      <c r="C73" s="15" t="inlineStr">
        <is>
          <t>منع الباقة من احتواء نفسها</t>
        </is>
      </c>
      <c r="D73" s="14" t="inlineStr">
        <is>
          <t>باقة A تحتوي باقة B</t>
        </is>
      </c>
      <c r="E73" s="14" t="inlineStr">
        <is>
          <t>1. أضف A إلى مكونات A
2. أضف A إلى مكونات B</t>
        </is>
      </c>
      <c r="F73" s="14" t="inlineStr">
        <is>
          <t>«a package cannot contain itself» ثم «a package cannot contain itself (through another package)»</t>
        </is>
      </c>
      <c r="G73" s="13" t="inlineStr">
        <is>
          <t>P2</t>
        </is>
      </c>
      <c r="H73" s="14" t="inlineStr">
        <is>
          <t>تحقق من المدخلات</t>
        </is>
      </c>
      <c r="I73" s="13" t="inlineStr">
        <is>
          <t>لم يُختبر</t>
        </is>
      </c>
      <c r="J73" s="14" t="inlineStr"/>
      <c r="K73" s="13" t="inlineStr"/>
      <c r="L73" s="14" t="inlineStr"/>
    </row>
    <row r="74">
      <c r="A74" s="13" t="inlineStr">
        <is>
          <t>TC-A-073</t>
        </is>
      </c>
      <c r="B74" s="14" t="inlineStr">
        <is>
          <t>المنتجات وقوائم الأسعار والباقات</t>
        </is>
      </c>
      <c r="C74" s="15" t="inlineStr">
        <is>
          <t>تواريخ صلاحية قائمة الأسعار</t>
        </is>
      </c>
      <c r="D74" s="14" t="inlineStr">
        <is>
          <t>—</t>
        </is>
      </c>
      <c r="E74" s="14" t="inlineStr">
        <is>
          <t>1. احفظ قائمة validFrom=2026-10-10 وvalidTo=2026-10-01</t>
        </is>
      </c>
      <c r="F74" s="14" t="inlineStr">
        <is>
          <t>رفض «valid-from must be on or before valid-to»</t>
        </is>
      </c>
      <c r="G74" s="13" t="inlineStr">
        <is>
          <t>P2</t>
        </is>
      </c>
      <c r="H74" s="14" t="inlineStr">
        <is>
          <t>تحقق من المدخلات</t>
        </is>
      </c>
      <c r="I74" s="13" t="inlineStr">
        <is>
          <t>لم يُختبر</t>
        </is>
      </c>
      <c r="J74" s="14" t="inlineStr"/>
      <c r="K74" s="13" t="inlineStr"/>
      <c r="L74" s="14" t="inlineStr"/>
    </row>
    <row r="75">
      <c r="A75" s="13" t="inlineStr">
        <is>
          <t>TC-A-074</t>
        </is>
      </c>
      <c r="B75" s="14" t="inlineStr">
        <is>
          <t>المنتجات وقوائم الأسعار والباقات</t>
        </is>
      </c>
      <c r="C75" s="15" t="inlineStr">
        <is>
          <t>سعر حسب الكمية الأدنى</t>
        </is>
      </c>
      <c r="D75" s="14" t="inlineStr">
        <is>
          <t>قائمة بها سعرين للمنتج: minQty 1 = 400، minQty 10 = 360</t>
        </is>
      </c>
      <c r="E75" s="14" t="inlineStr">
        <is>
          <t>1. عرض بكمية 5 ثم 12
2. أرسل نفس المنتج ونفس minQty مرتين</t>
        </is>
      </c>
      <c r="F75" s="14" t="inlineStr">
        <is>
          <t>5 ← 400، 12 ← 360؛ التكرار مرفوض «the same product and min qty appear twice»</t>
        </is>
      </c>
      <c r="G75" s="13" t="inlineStr">
        <is>
          <t>P2</t>
        </is>
      </c>
      <c r="H75" s="14" t="inlineStr">
        <is>
          <t>حالات حدّية</t>
        </is>
      </c>
      <c r="I75" s="13" t="inlineStr">
        <is>
          <t>لم يُختبر</t>
        </is>
      </c>
      <c r="J75" s="14" t="inlineStr"/>
      <c r="K75" s="13" t="inlineStr"/>
      <c r="L75" s="14" t="inlineStr"/>
    </row>
    <row r="76">
      <c r="A76" s="13" t="inlineStr">
        <is>
          <t>TC-A-075</t>
        </is>
      </c>
      <c r="B76" s="14" t="inlineStr">
        <is>
          <t>المنتجات وقوائم الأسعار والباقات</t>
        </is>
      </c>
      <c r="C76" s="15" t="inlineStr">
        <is>
          <t>تغيير عميل العرض إلى عميل بقائمة خاصة يعيد التسعير</t>
        </is>
      </c>
      <c r="D76" s="14" t="inlineStr">
        <is>
          <t>عرض مسودة لعميل عادي فيه بند معدل يدويًا وبند غير معدل</t>
        </is>
      </c>
      <c r="E76" s="14" t="inlineStr">
        <is>
          <t>1. غيّر العميل إلى عميل له قائمة VIP</t>
        </is>
      </c>
      <c r="F76" s="14" t="inlineStr">
        <is>
          <t>يُعاد تسعير البنود غير المعدلة يدويًا فقط مع رسالة توضح عددها</t>
        </is>
      </c>
      <c r="G76" s="13" t="inlineStr">
        <is>
          <t>P2</t>
        </is>
      </c>
      <c r="H76" s="14" t="inlineStr">
        <is>
          <t>تكامل</t>
        </is>
      </c>
      <c r="I76" s="13" t="inlineStr">
        <is>
          <t>لم يُختبر</t>
        </is>
      </c>
      <c r="J76" s="14" t="inlineStr"/>
      <c r="K76" s="13" t="inlineStr"/>
      <c r="L76" s="14" t="inlineStr"/>
    </row>
    <row r="77">
      <c r="A77" s="13" t="inlineStr">
        <is>
          <t>TC-A-076</t>
        </is>
      </c>
      <c r="B77" s="14" t="inlineStr">
        <is>
          <t>المنتجات وقوائم الأسعار والباقات</t>
        </is>
      </c>
      <c r="C77" s="15" t="inlineStr">
        <is>
          <t>حد طول الكود 64 حرفًا</t>
        </is>
      </c>
      <c r="D77" s="14" t="inlineStr">
        <is>
          <t>—</t>
        </is>
      </c>
      <c r="E77" s="14" t="inlineStr">
        <is>
          <t>1. احفظ منتجًا بكود 65 حرفًا
2. ثم 64</t>
        </is>
      </c>
      <c r="F77" s="14" t="inlineStr">
        <is>
          <t>65 مرفوض، 64 مقبول</t>
        </is>
      </c>
      <c r="G77" s="13" t="inlineStr">
        <is>
          <t>P3</t>
        </is>
      </c>
      <c r="H77" s="14" t="inlineStr">
        <is>
          <t>حالات حدّية</t>
        </is>
      </c>
      <c r="I77" s="13" t="inlineStr">
        <is>
          <t>لم يُختبر</t>
        </is>
      </c>
      <c r="J77" s="14" t="inlineStr"/>
      <c r="K77" s="13" t="inlineStr"/>
      <c r="L77" s="14" t="inlineStr"/>
    </row>
    <row r="78">
      <c r="A78" s="13" t="inlineStr">
        <is>
          <t>TC-A-077</t>
        </is>
      </c>
      <c r="B78" s="14" t="inlineStr">
        <is>
          <t>المنتجات وقوائم الأسعار والباقات</t>
        </is>
      </c>
      <c r="C78" s="15" t="inlineStr">
        <is>
          <t>حذف صورة المنتج</t>
        </is>
      </c>
      <c r="D78" s="14" t="inlineStr">
        <is>
          <t>منتج له صورة</t>
        </is>
      </c>
      <c r="E78" s="14" t="inlineStr">
        <is>
          <t>1. احذف الصورة</t>
        </is>
      </c>
      <c r="F78" s="14" t="inlineStr">
        <is>
          <t>imageUrl = null؛ audit image_remove؛ العروض الجديدة بدون صورة</t>
        </is>
      </c>
      <c r="G78" s="13" t="inlineStr">
        <is>
          <t>P3</t>
        </is>
      </c>
      <c r="H78" s="14" t="inlineStr">
        <is>
          <t>وظيفي</t>
        </is>
      </c>
      <c r="I78" s="13" t="inlineStr">
        <is>
          <t>لم يُختبر</t>
        </is>
      </c>
      <c r="J78" s="14" t="inlineStr"/>
      <c r="K78" s="13" t="inlineStr"/>
      <c r="L78" s="14" t="inlineStr"/>
    </row>
    <row r="79">
      <c r="A79" s="13" t="inlineStr">
        <is>
          <t>TC-A-078</t>
        </is>
      </c>
      <c r="B79" s="14" t="inlineStr">
        <is>
          <t>المنتجات وقوائم الأسعار والباقات</t>
        </is>
      </c>
      <c r="C79" s="15" t="inlineStr">
        <is>
          <t>مجموعة جديدة من Excel</t>
        </is>
      </c>
      <c r="D79" s="14" t="inlineStr">
        <is>
          <t>قالب بمجموعة غير موجودة «أقفال ذكية»</t>
        </is>
      </c>
      <c r="E79" s="14" t="inlineStr">
        <is>
          <t>1. ارفع</t>
        </is>
      </c>
      <c r="F79" s="14" t="inlineStr">
        <is>
          <t>تحذير «مجموعة جديدة ستُنشأ: أقفال ذكية»؛ newGroups=1؛ تُنشأ عند التطبيق</t>
        </is>
      </c>
      <c r="G79" s="13" t="inlineStr">
        <is>
          <t>P3</t>
        </is>
      </c>
      <c r="H79" s="14" t="inlineStr">
        <is>
          <t>وظيفي</t>
        </is>
      </c>
      <c r="I79" s="13" t="inlineStr">
        <is>
          <t>لم يُختبر</t>
        </is>
      </c>
      <c r="J79" s="14" t="inlineStr"/>
      <c r="K79" s="13" t="inlineStr"/>
      <c r="L79" s="14" t="inlineStr"/>
    </row>
    <row r="80">
      <c r="A80" s="13" t="inlineStr">
        <is>
          <t>TC-A-079</t>
        </is>
      </c>
      <c r="B80" s="14" t="inlineStr">
        <is>
          <t>المنتجات وقوائم الأسعار والباقات</t>
        </is>
      </c>
      <c r="C80" s="15" t="inlineStr">
        <is>
          <t>مكون مكرر أو غير معروف في الباقة</t>
        </is>
      </c>
      <c r="D80" s="14" t="inlineStr">
        <is>
          <t>—</t>
        </is>
      </c>
      <c r="E80" s="14" t="inlineStr">
        <is>
          <t>1. أرسل نفس componentId مرتين
2. أرسل UUID غير موجود</t>
        </is>
      </c>
      <c r="F80" s="14" t="inlineStr">
        <is>
          <t>«a component appears twice»؛ «unknown component product»</t>
        </is>
      </c>
      <c r="G80" s="13" t="inlineStr">
        <is>
          <t>P3</t>
        </is>
      </c>
      <c r="H80" s="14" t="inlineStr">
        <is>
          <t>تحقق من المدخلات</t>
        </is>
      </c>
      <c r="I80" s="13" t="inlineStr">
        <is>
          <t>لم يُختبر</t>
        </is>
      </c>
      <c r="J80" s="14" t="inlineStr"/>
      <c r="K80" s="13" t="inlineStr"/>
      <c r="L80" s="14" t="inlineStr"/>
    </row>
    <row r="81">
      <c r="A81" s="13" t="inlineStr">
        <is>
          <t>TC-A-080</t>
        </is>
      </c>
      <c r="B81" s="14" t="inlineStr">
        <is>
          <t>المنتجات وقوائم الأسعار والباقات</t>
        </is>
      </c>
      <c r="C81" s="15" t="inlineStr">
        <is>
          <t>سعر سالب في قائمة الأسعار</t>
        </is>
      </c>
      <c r="D81" s="14" t="inlineStr">
        <is>
          <t>—</t>
        </is>
      </c>
      <c r="E81" s="14" t="inlineStr">
        <is>
          <t>1. أضف بندًا بسعر -1</t>
        </is>
      </c>
      <c r="F81" s="14" t="inlineStr">
        <is>
          <t>⚠ للتأكيد (السلوك المتوقع افتراض وليس قاعدة في الكود): «price must be ≥ 0»</t>
        </is>
      </c>
      <c r="G81" s="13" t="inlineStr">
        <is>
          <t>P3</t>
        </is>
      </c>
      <c r="H81" s="14" t="inlineStr">
        <is>
          <t>تحقق من المدخلات</t>
        </is>
      </c>
      <c r="I81" s="13" t="inlineStr">
        <is>
          <t>لم يُختبر</t>
        </is>
      </c>
      <c r="J81" s="14" t="inlineStr"/>
      <c r="K81" s="13" t="inlineStr"/>
      <c r="L81" s="14" t="inlineStr"/>
    </row>
    <row r="82">
      <c r="A82" s="13" t="inlineStr">
        <is>
          <t>TC-A-081</t>
        </is>
      </c>
      <c r="B82" s="14" t="inlineStr">
        <is>
          <t>عروض الأسعار</t>
        </is>
      </c>
      <c r="C82" s="15" t="inlineStr">
        <is>
          <t>إنشاء عرض بالترقيم MMC-{YY}{WW}{DD}{n}</t>
        </is>
      </c>
      <c r="D82" s="14" t="inlineStr">
        <is>
          <t>تاريخ اليوم بتوقيت الرياض 2026-10-08 (الأسبوع ISO 41)</t>
        </is>
      </c>
      <c r="E82" s="14" t="inlineStr">
        <is>
          <t>1. أنشئ أول عرض اليوم
2. أنشئ عرضًا ثانيًا</t>
        </is>
      </c>
      <c r="F82" s="14" t="inlineStr">
        <is>
          <t>الأرقام MMC-2641081 ثم MMC-2641082 (بدون فاصل قبل التسلسل)؛ revision=0</t>
        </is>
      </c>
      <c r="G82" s="13" t="inlineStr">
        <is>
          <t>P1</t>
        </is>
      </c>
      <c r="H82" s="14" t="inlineStr">
        <is>
          <t>وظيفي</t>
        </is>
      </c>
      <c r="I82" s="13" t="inlineStr">
        <is>
          <t>لم يُختبر</t>
        </is>
      </c>
      <c r="J82" s="14" t="inlineStr"/>
      <c r="K82" s="13" t="inlineStr"/>
      <c r="L82" s="14" t="inlineStr"/>
    </row>
    <row r="83">
      <c r="A83" s="13" t="inlineStr">
        <is>
          <t>TC-A-082</t>
        </is>
      </c>
      <c r="B83" s="14" t="inlineStr">
        <is>
          <t>عروض الأسعار</t>
        </is>
      </c>
      <c r="C83" s="15" t="inlineStr">
        <is>
          <t>الأرقام لا تتكرر مع الحفظ المتزامن</t>
        </is>
      </c>
      <c r="D83" s="14" t="inlineStr">
        <is>
          <t>مستخدمان</t>
        </is>
      </c>
      <c r="E83" s="14" t="inlineStr">
        <is>
          <t>1. أنشئ عرضين في نفس اللحظة من جلستين (أو 20 طلب POST /api/quotes متوازي)</t>
        </is>
      </c>
      <c r="F83" s="14" t="inlineStr">
        <is>
          <t>كل العروض بأرقام مختلفة ومتتالية بلا فجوات تكرار (قفل numbering_counter)</t>
        </is>
      </c>
      <c r="G83" s="13" t="inlineStr">
        <is>
          <t>P1</t>
        </is>
      </c>
      <c r="H83" s="14" t="inlineStr">
        <is>
          <t>حالات حدّية</t>
        </is>
      </c>
      <c r="I83" s="13" t="inlineStr">
        <is>
          <t>لم يُختبر</t>
        </is>
      </c>
      <c r="J83" s="14" t="inlineStr"/>
      <c r="K83" s="13" t="inlineStr"/>
      <c r="L83" s="14" t="inlineStr"/>
    </row>
    <row r="84">
      <c r="A84" s="13" t="inlineStr">
        <is>
          <t>TC-A-083</t>
        </is>
      </c>
      <c r="B84" s="14" t="inlineStr">
        <is>
          <t>عروض الأسعار</t>
        </is>
      </c>
      <c r="C84" s="15" t="inlineStr">
        <is>
          <t>رقم العرض لا يُعاد استخدامه بعد الحذف/الفقدان</t>
        </is>
      </c>
      <c r="D84" s="14" t="inlineStr">
        <is>
          <t>عرض MMC-2641083 عُلّم «خسارة»</t>
        </is>
      </c>
      <c r="E84" s="14" t="inlineStr">
        <is>
          <t>1. أنشئ عرضًا جديدًا</t>
        </is>
      </c>
      <c r="F84" s="14" t="inlineStr">
        <is>
          <t>الرقم الجديد MMC-2641084 وليس 3</t>
        </is>
      </c>
      <c r="G84" s="13" t="inlineStr">
        <is>
          <t>P1</t>
        </is>
      </c>
      <c r="H84" s="14" t="inlineStr">
        <is>
          <t>حالات حدّية</t>
        </is>
      </c>
      <c r="I84" s="13" t="inlineStr">
        <is>
          <t>لم يُختبر</t>
        </is>
      </c>
      <c r="J84" s="14" t="inlineStr"/>
      <c r="K84" s="13" t="inlineStr"/>
      <c r="L84" s="14" t="inlineStr"/>
    </row>
    <row r="85">
      <c r="A85" s="13" t="inlineStr">
        <is>
          <t>TC-A-084</t>
        </is>
      </c>
      <c r="B85" s="14" t="inlineStr">
        <is>
          <t>عروض الأسعار</t>
        </is>
      </c>
      <c r="C85" s="15" t="inlineStr">
        <is>
          <t>إضافة INS تلقائيًا من تكلفة التركيب</t>
        </is>
      </c>
      <c r="D85" s="14" t="inlineStr">
        <is>
          <t>منتج تركيبه 75</t>
        </is>
      </c>
      <c r="E85" s="14" t="inlineStr">
        <is>
          <t>1. عرض جديد، أضف المنتج بكمية 8</t>
        </is>
      </c>
      <c r="F85" s="14" t="inlineStr">
        <is>
          <t>يُضاف سطر INS «أعمال التركيب والبرمجة | Installation &amp; Programming» بسعر 600 في آخر الجدول دائمًا</t>
        </is>
      </c>
      <c r="G85" s="13" t="inlineStr">
        <is>
          <t>P1</t>
        </is>
      </c>
      <c r="H85" s="14" t="inlineStr">
        <is>
          <t>وظيفي</t>
        </is>
      </c>
      <c r="I85" s="13" t="inlineStr">
        <is>
          <t>لم يُختبر</t>
        </is>
      </c>
      <c r="J85" s="14" t="inlineStr"/>
      <c r="K85" s="13" t="inlineStr"/>
      <c r="L85" s="14" t="inlineStr"/>
    </row>
    <row r="86">
      <c r="A86" s="13" t="inlineStr">
        <is>
          <t>TC-A-085</t>
        </is>
      </c>
      <c r="B86" s="14" t="inlineStr">
        <is>
          <t>عروض الأسعار</t>
        </is>
      </c>
      <c r="C86" s="15" t="inlineStr">
        <is>
          <t>INS يتحدث ويختفي عند الصفر</t>
        </is>
      </c>
      <c r="D86" s="14" t="inlineStr">
        <is>
          <t>عرض فيه INS تلقائي</t>
        </is>
      </c>
      <c r="E86" s="14" t="inlineStr">
        <is>
          <t>1. غيّر الكمية إلى 10
2. اجعل البند اختياريًا
3. احذف البند</t>
        </is>
      </c>
      <c r="F86" s="14" t="inlineStr">
        <is>
          <t>INS = 750؛ ثم يختفي عندما يصبح مجموع التركيب 0 (البنود الاختيارية لا تُحتسب)</t>
        </is>
      </c>
      <c r="G86" s="13" t="inlineStr">
        <is>
          <t>P1</t>
        </is>
      </c>
      <c r="H86" s="14" t="inlineStr">
        <is>
          <t>وظيفي</t>
        </is>
      </c>
      <c r="I86" s="13" t="inlineStr">
        <is>
          <t>لم يُختبر</t>
        </is>
      </c>
      <c r="J86" s="14" t="inlineStr"/>
      <c r="K86" s="13" t="inlineStr"/>
      <c r="L86" s="14" t="inlineStr"/>
    </row>
    <row r="87">
      <c r="A87" s="13" t="inlineStr">
        <is>
          <t>TC-A-086</t>
        </is>
      </c>
      <c r="B87" s="14" t="inlineStr">
        <is>
          <t>عروض الأسعار</t>
        </is>
      </c>
      <c r="C87" s="15" t="inlineStr">
        <is>
          <t>حساب الإجمالي مع الضريبة 15%</t>
        </is>
      </c>
      <c r="D87" s="14" t="inlineStr">
        <is>
          <t>المنشأة مسجلة في الضريبة</t>
        </is>
      </c>
      <c r="E87" s="14" t="inlineStr">
        <is>
          <t>1. بند 450 × 8 = 3,600 + INS 600
2. لا خصم</t>
        </is>
      </c>
      <c r="F87" s="14" t="inlineStr">
        <is>
          <t>المجموع 4,200؛ الضريبة 630؛ الإجمالي 4,830؛ المبالغ بالهللة دون أخطاء تقريب</t>
        </is>
      </c>
      <c r="G87" s="13" t="inlineStr">
        <is>
          <t>P1</t>
        </is>
      </c>
      <c r="H87" s="14" t="inlineStr">
        <is>
          <t>وظيفي</t>
        </is>
      </c>
      <c r="I87" s="13" t="inlineStr">
        <is>
          <t>لم يُختبر</t>
        </is>
      </c>
      <c r="J87" s="14" t="inlineStr"/>
      <c r="K87" s="13" t="inlineStr"/>
      <c r="L87" s="14" t="inlineStr"/>
    </row>
    <row r="88">
      <c r="A88" s="13" t="inlineStr">
        <is>
          <t>TC-A-087</t>
        </is>
      </c>
      <c r="B88" s="14" t="inlineStr">
        <is>
          <t>عروض الأسعار</t>
        </is>
      </c>
      <c r="C88" s="15" t="inlineStr">
        <is>
          <t>الخصم بالنسبة والخصم بالمبلغ</t>
        </is>
      </c>
      <c r="D88" s="14" t="inlineStr">
        <is>
          <t>عرض مجموعه 1,000</t>
        </is>
      </c>
      <c r="E88" s="14" t="inlineStr">
        <is>
          <t>1. خصم 10%
2. خصم بالمبلغ 1,500
3. خصم 100.5%
4. خصم -5%</t>
        </is>
      </c>
      <c r="F88" s="14" t="inlineStr">
        <is>
          <t>10% ← 100؛ المبلغ 1,500 يُقصّ إلى 1,000؛ 100.5% مرفوض «discount % must be 0–100»؛ السالب مرفوض/صفر</t>
        </is>
      </c>
      <c r="G88" s="13" t="inlineStr">
        <is>
          <t>P1</t>
        </is>
      </c>
      <c r="H88" s="14" t="inlineStr">
        <is>
          <t>حالات حدّية</t>
        </is>
      </c>
      <c r="I88" s="13" t="inlineStr">
        <is>
          <t>لم يُختبر</t>
        </is>
      </c>
      <c r="J88" s="14" t="inlineStr"/>
      <c r="K88" s="13" t="inlineStr"/>
      <c r="L88" s="14" t="inlineStr"/>
    </row>
    <row r="89">
      <c r="A89" s="13" t="inlineStr">
        <is>
          <t>TC-A-088</t>
        </is>
      </c>
      <c r="B89" s="14" t="inlineStr">
        <is>
          <t>عروض الأسعار</t>
        </is>
      </c>
      <c r="C89" s="15" t="inlineStr">
        <is>
          <t>البنود الاختيارية خارج الإجمالي</t>
        </is>
      </c>
      <c r="D89" s="14" t="inlineStr">
        <is>
          <t>—</t>
        </is>
      </c>
      <c r="E89" s="14" t="inlineStr">
        <is>
          <t>1. أضف بندًا اختياريًا بقيمة 1,000</t>
        </is>
      </c>
      <c r="F89" s="14" t="inlineStr">
        <is>
          <t>يظهر منفصلًا في «اختياري»؛ optionalTotal=1,000 ولا يدخل في المجموع أو الضريبة أو INS</t>
        </is>
      </c>
      <c r="G89" s="13" t="inlineStr">
        <is>
          <t>P1</t>
        </is>
      </c>
      <c r="H89" s="14" t="inlineStr">
        <is>
          <t>وظيفي</t>
        </is>
      </c>
      <c r="I89" s="13" t="inlineStr">
        <is>
          <t>لم يُختبر</t>
        </is>
      </c>
      <c r="J89" s="14" t="inlineStr"/>
      <c r="K89" s="13" t="inlineStr"/>
      <c r="L89" s="14" t="inlineStr"/>
    </row>
    <row r="90">
      <c r="A90" s="13" t="inlineStr">
        <is>
          <t>TC-A-089</t>
        </is>
      </c>
      <c r="B90" s="14" t="inlineStr">
        <is>
          <t>عروض الأسعار</t>
        </is>
      </c>
      <c r="C90" s="15" t="inlineStr">
        <is>
          <t>وضع «غير مسجل في الضريبة»</t>
        </is>
      </c>
      <c r="D90" s="14" t="inlineStr">
        <is>
          <t>الإعدادات ← بيانات المنشأة ← تفعيل «المنشأة غير مسجلة في ضريبة القيمة المضافة»</t>
        </is>
      </c>
      <c r="E90" s="14" t="inlineStr">
        <is>
          <t>1. أنشئ عرضًا وحاول تشغيل مفتاح الضريبة
2. أرسل vatOn=true عبر API
3. اطبع PDF وExcel</t>
        </is>
      </c>
      <c r="F90" s="14" t="inlineStr">
        <is>
          <t>مفتاح الضريبة مقفل؛ vatOn يُحفظ false؛ الضريبة 0 والإجمالي = الصافي في العرض وPDF وExcel والرابط العام</t>
        </is>
      </c>
      <c r="G90" s="13" t="inlineStr">
        <is>
          <t>P1</t>
        </is>
      </c>
      <c r="H90" s="14" t="inlineStr">
        <is>
          <t>تكامل</t>
        </is>
      </c>
      <c r="I90" s="13" t="inlineStr">
        <is>
          <t>لم يُختبر</t>
        </is>
      </c>
      <c r="J90" s="14" t="inlineStr"/>
      <c r="K90" s="13" t="inlineStr"/>
      <c r="L90" s="14" t="inlineStr"/>
    </row>
    <row r="91">
      <c r="A91" s="13" t="inlineStr">
        <is>
          <t>TC-A-090</t>
        </is>
      </c>
      <c r="B91" s="14" t="inlineStr">
        <is>
          <t>عروض الأسعار</t>
        </is>
      </c>
      <c r="C91" s="15" t="inlineStr">
        <is>
          <t>اعتماد تلقائي ضمن حد خصم المندوب</t>
        </is>
      </c>
      <c r="D91" s="14" t="inlineStr">
        <is>
          <t>مندوب (حد 10%)، سياسة الموافقة الافتراضية 10% و هامش 20%</t>
        </is>
      </c>
      <c r="E91" s="14" t="inlineStr">
        <is>
          <t>1. خصم 8% على بنود هامشها &gt; 20%
2. اضغط «اعتماد العرض»</t>
        </is>
      </c>
      <c r="F91" s="14" t="inlineStr">
        <is>
          <t>يصبح «معتمد» مباشرة (audit auto_approve) دون طلب موافقة</t>
        </is>
      </c>
      <c r="G91" s="13" t="inlineStr">
        <is>
          <t>P1</t>
        </is>
      </c>
      <c r="H91" s="14" t="inlineStr">
        <is>
          <t>وظيفي</t>
        </is>
      </c>
      <c r="I91" s="13" t="inlineStr">
        <is>
          <t>لم يُختبر</t>
        </is>
      </c>
      <c r="J91" s="14" t="inlineStr"/>
      <c r="K91" s="13" t="inlineStr"/>
      <c r="L91" s="14" t="inlineStr"/>
    </row>
    <row r="92">
      <c r="A92" s="13" t="inlineStr">
        <is>
          <t>TC-A-091</t>
        </is>
      </c>
      <c r="B92" s="14" t="inlineStr">
        <is>
          <t>عروض الأسعار</t>
        </is>
      </c>
      <c r="C92" s="15" t="inlineStr">
        <is>
          <t>خصم يتجاوز حد المندوب يحتاج موافقة</t>
        </is>
      </c>
      <c r="D92" s="14" t="inlineStr">
        <is>
          <t>مندوب (حد 10%)</t>
        </is>
      </c>
      <c r="E92" s="14" t="inlineStr">
        <is>
          <t>1. خصم 20%
2. اعتماد العرض
3. حاول الإرسال</t>
        </is>
      </c>
      <c r="F92" s="14" t="inlineStr">
        <is>
          <t>الحالة «بانتظار الموافقة»، approvalReasons «discount 20% &gt; 10%»، إشعار للمعتمدين (عدا المندوب)؛ الإرسال مرفوض «this quote needs approval before it can be sent»</t>
        </is>
      </c>
      <c r="G92" s="13" t="inlineStr">
        <is>
          <t>P1</t>
        </is>
      </c>
      <c r="H92" s="14" t="inlineStr">
        <is>
          <t>صلاحيات</t>
        </is>
      </c>
      <c r="I92" s="13" t="inlineStr">
        <is>
          <t>لم يُختبر</t>
        </is>
      </c>
      <c r="J92" s="14" t="inlineStr"/>
      <c r="K92" s="13" t="inlineStr"/>
      <c r="L92" s="14" t="inlineStr"/>
    </row>
    <row r="93">
      <c r="A93" s="13" t="inlineStr">
        <is>
          <t>TC-A-092</t>
        </is>
      </c>
      <c r="B93" s="14" t="inlineStr">
        <is>
          <t>عروض الأسعار</t>
        </is>
      </c>
      <c r="C93" s="15" t="inlineStr">
        <is>
          <t>سعر أقل من القائمة بدل الخصم يحتاج موافقة</t>
        </is>
      </c>
      <c r="D93" s="14" t="inlineStr">
        <is>
          <t>مندوب</t>
        </is>
      </c>
      <c r="E93" s="14" t="inlineStr">
        <is>
          <t>1. اجعل سعر البند 70% من سعر القائمة دون خصم
2. اعتمد</t>
        </is>
      </c>
      <c r="F93" s="14" t="inlineStr">
        <is>
          <t>يحتاج موافقة بسبب «price below list 30% &gt; 10%»</t>
        </is>
      </c>
      <c r="G93" s="13" t="inlineStr">
        <is>
          <t>P1</t>
        </is>
      </c>
      <c r="H93" s="14" t="inlineStr">
        <is>
          <t>حالات حدّية</t>
        </is>
      </c>
      <c r="I93" s="13" t="inlineStr">
        <is>
          <t>لم يُختبر</t>
        </is>
      </c>
      <c r="J93" s="14" t="inlineStr"/>
      <c r="K93" s="13" t="inlineStr"/>
      <c r="L93" s="14" t="inlineStr"/>
    </row>
    <row r="94">
      <c r="A94" s="13" t="inlineStr">
        <is>
          <t>TC-A-093</t>
        </is>
      </c>
      <c r="B94" s="14" t="inlineStr">
        <is>
          <t>عروض الأسعار</t>
        </is>
      </c>
      <c r="C94" s="15" t="inlineStr">
        <is>
          <t>المدير يوافق ضمن حده ويرفض فوقه</t>
        </is>
      </c>
      <c r="D94" s="14" t="inlineStr">
        <is>
          <t>مدير مبيعات (حد 15%)، عرضان بخصم 12% و25%</t>
        </is>
      </c>
      <c r="E94" s="14" t="inlineStr">
        <is>
          <t>1. وافق على عرض 12%
2. وافق على عرض 25%</t>
        </is>
      </c>
      <c r="F94" s="14" t="inlineStr">
        <is>
          <t>الأول «معتمد» مع إشعار للمندوب؛ الثاني 403 «discount above your approval limit (15%)» — يحتاج المدير العام (30%) أو المالك</t>
        </is>
      </c>
      <c r="G94" s="13" t="inlineStr">
        <is>
          <t>P1</t>
        </is>
      </c>
      <c r="H94" s="14" t="inlineStr">
        <is>
          <t>صلاحيات</t>
        </is>
      </c>
      <c r="I94" s="13" t="inlineStr">
        <is>
          <t>لم يُختبر</t>
        </is>
      </c>
      <c r="J94" s="14" t="inlineStr"/>
      <c r="K94" s="13" t="inlineStr"/>
      <c r="L94" s="14" t="inlineStr"/>
    </row>
    <row r="95">
      <c r="A95" s="13" t="inlineStr">
        <is>
          <t>TC-A-094</t>
        </is>
      </c>
      <c r="B95" s="14" t="inlineStr">
        <is>
          <t>عروض الأسعار</t>
        </is>
      </c>
      <c r="C95" s="15" t="inlineStr">
        <is>
          <t>لا يعتمد المستخدم عرضه بنفسه</t>
        </is>
      </c>
      <c r="D95" s="14" t="inlineStr">
        <is>
          <t>مدير مبيعات أنشأ عرضًا بخصم 12% فصار بانتظار الموافقة</t>
        </is>
      </c>
      <c r="E95" s="14" t="inlineStr">
        <is>
          <t>1. حاول الموافقة على عرضه</t>
        </is>
      </c>
      <c r="F95" s="14" t="inlineStr">
        <is>
          <t>403 «you cannot approve your own quote» (يُستثنى المالك)</t>
        </is>
      </c>
      <c r="G95" s="13" t="inlineStr">
        <is>
          <t>P1</t>
        </is>
      </c>
      <c r="H95" s="14" t="inlineStr">
        <is>
          <t>صلاحيات</t>
        </is>
      </c>
      <c r="I95" s="13" t="inlineStr">
        <is>
          <t>لم يُختبر</t>
        </is>
      </c>
      <c r="J95" s="14" t="inlineStr"/>
      <c r="K95" s="13" t="inlineStr"/>
      <c r="L95" s="14" t="inlineStr"/>
    </row>
    <row r="96">
      <c r="A96" s="13" t="inlineStr">
        <is>
          <t>TC-A-095</t>
        </is>
      </c>
      <c r="B96" s="14" t="inlineStr">
        <is>
          <t>عروض الأسعار</t>
        </is>
      </c>
      <c r="C96" s="15" t="inlineStr">
        <is>
          <t>تعارض الإصدار عند التعديل المتزامن (409)</t>
        </is>
      </c>
      <c r="D96" s="14" t="inlineStr">
        <is>
          <t>عرض مسودة مفتوح في نافذتين</t>
        </is>
      </c>
      <c r="E96" s="14" t="inlineStr">
        <is>
          <t>1. عدّل واحفظ في النافذة 1
2. عدّل واحفظ في النافذة 2 (version قديم)</t>
        </is>
      </c>
      <c r="F96" s="14" t="inlineStr">
        <is>
          <t>النافذة 2 تحصل على 409 «the quote was changed by someone else — reload» ولا تُفقد تعديلات النافذة 1</t>
        </is>
      </c>
      <c r="G96" s="13" t="inlineStr">
        <is>
          <t>P1</t>
        </is>
      </c>
      <c r="H96" s="14" t="inlineStr">
        <is>
          <t>حالات حدّية</t>
        </is>
      </c>
      <c r="I96" s="13" t="inlineStr">
        <is>
          <t>لم يُختبر</t>
        </is>
      </c>
      <c r="J96" s="14" t="inlineStr"/>
      <c r="K96" s="13" t="inlineStr"/>
      <c r="L96" s="14" t="inlineStr"/>
    </row>
    <row r="97">
      <c r="A97" s="13" t="inlineStr">
        <is>
          <t>TC-A-096</t>
        </is>
      </c>
      <c r="B97" s="14" t="inlineStr">
        <is>
          <t>عروض الأسعار</t>
        </is>
      </c>
      <c r="C97" s="15" t="inlineStr">
        <is>
          <t>لا تعديل بعد الإرسال</t>
        </is>
      </c>
      <c r="D97" s="14" t="inlineStr">
        <is>
          <t>عرض مُرسل</t>
        </is>
      </c>
      <c r="E97" s="14" t="inlineStr">
        <is>
          <t>1. حاول الحفظ عبر PUT</t>
        </is>
      </c>
      <c r="F97" s="14" t="inlineStr">
        <is>
          <t>409 «this quote was sent — create a revision to change it»</t>
        </is>
      </c>
      <c r="G97" s="13" t="inlineStr">
        <is>
          <t>P1</t>
        </is>
      </c>
      <c r="H97" s="14" t="inlineStr">
        <is>
          <t>حالات حدّية</t>
        </is>
      </c>
      <c r="I97" s="13" t="inlineStr">
        <is>
          <t>لم يُختبر</t>
        </is>
      </c>
      <c r="J97" s="14" t="inlineStr"/>
      <c r="K97" s="13" t="inlineStr"/>
      <c r="L97" s="14" t="inlineStr"/>
    </row>
    <row r="98">
      <c r="A98" s="13" t="inlineStr">
        <is>
          <t>TC-A-097</t>
        </is>
      </c>
      <c r="B98" s="14" t="inlineStr">
        <is>
          <t>عروض الأسعار</t>
        </is>
      </c>
      <c r="C98" s="15" t="inlineStr">
        <is>
          <t>نسخة معدلة R1</t>
        </is>
      </c>
      <c r="D98" s="14" t="inlineStr">
        <is>
          <t>عرض مُرسل</t>
        </is>
      </c>
      <c r="E98" s="14" t="inlineStr">
        <is>
          <t>1. اضغط «نسخة معدلة»
2. افتح الأصل والرابط العام القديم</t>
        </is>
      </c>
      <c r="F98" s="14" t="inlineStr">
        <is>
          <t>تُنشأ R1 بنفس الرقم والبنود والأقسام بحالة مسودة؛ الأصل «مستبدل»؛ القائمة تعرض أحدث نسخة فقط (latestOnly)؛ اسم PDF {number}-R1.pdf؛ الرابط القديم يُظهر «مستبدل» ولا يقبل</t>
        </is>
      </c>
      <c r="G98" s="13" t="inlineStr">
        <is>
          <t>P1</t>
        </is>
      </c>
      <c r="H98" s="14" t="inlineStr">
        <is>
          <t>وظيفي</t>
        </is>
      </c>
      <c r="I98" s="13" t="inlineStr">
        <is>
          <t>لم يُختبر</t>
        </is>
      </c>
      <c r="J98" s="14" t="inlineStr"/>
      <c r="K98" s="13" t="inlineStr"/>
      <c r="L98" s="14" t="inlineStr"/>
    </row>
    <row r="99">
      <c r="A99" s="13" t="inlineStr">
        <is>
          <t>TC-A-098</t>
        </is>
      </c>
      <c r="B99" s="14" t="inlineStr">
        <is>
          <t>عروض الأسعار</t>
        </is>
      </c>
      <c r="C99" s="15" t="inlineStr">
        <is>
          <t>تصدير PDF عربي</t>
        </is>
      </c>
      <c r="D99" s="14" t="inlineStr">
        <is>
          <t>عرض كامل بشعار وأقسام وصور</t>
        </is>
      </c>
      <c r="E99" s="14" t="inlineStr">
        <is>
          <t>1. اضغط PDF</t>
        </is>
      </c>
      <c r="F99" s="14" t="inlineStr">
        <is>
          <t>PDF A4 RTL بالشعار وبيانات المنشأة من الإعدادات، الأقسام والصور وINS والتفقيط، اسم الملف {number}.pdf، دون أي تكلفة أو هامش</t>
        </is>
      </c>
      <c r="G99" s="13" t="inlineStr">
        <is>
          <t>P1</t>
        </is>
      </c>
      <c r="H99" s="14" t="inlineStr">
        <is>
          <t>واجهة وعرض</t>
        </is>
      </c>
      <c r="I99" s="13" t="inlineStr">
        <is>
          <t>لم يُختبر</t>
        </is>
      </c>
      <c r="J99" s="14" t="inlineStr"/>
      <c r="K99" s="13" t="inlineStr"/>
      <c r="L99" s="14" t="inlineStr"/>
    </row>
    <row r="100">
      <c r="A100" s="13" t="inlineStr">
        <is>
          <t>TC-A-099</t>
        </is>
      </c>
      <c r="B100" s="14" t="inlineStr">
        <is>
          <t>عروض الأسعار</t>
        </is>
      </c>
      <c r="C100" s="15" t="inlineStr">
        <is>
          <t>إخفاء التكلفة والهامش في عرض المندوب</t>
        </is>
      </c>
      <c r="D100" s="14" t="inlineStr">
        <is>
          <t>مندوب (لا quote.cost.read)</t>
        </is>
      </c>
      <c r="E100" s="14" t="inlineStr">
        <is>
          <t>1. افتح عرضًا
2. استدعِ GET /api/quotes/{id}</t>
        </is>
      </c>
      <c r="F100" s="14" t="inlineStr">
        <is>
          <t>لا unitCost ولا costTotal ولا marginTotal ولا margin في الرد أو الواجهة</t>
        </is>
      </c>
      <c r="G100" s="13" t="inlineStr">
        <is>
          <t>P1</t>
        </is>
      </c>
      <c r="H100" s="14" t="inlineStr">
        <is>
          <t>صلاحيات</t>
        </is>
      </c>
      <c r="I100" s="13" t="inlineStr">
        <is>
          <t>لم يُختبر</t>
        </is>
      </c>
      <c r="J100" s="14" t="inlineStr"/>
      <c r="K100" s="13" t="inlineStr"/>
      <c r="L100" s="14" t="inlineStr"/>
    </row>
    <row r="101">
      <c r="A101" s="13" t="inlineStr">
        <is>
          <t>TC-A-100</t>
        </is>
      </c>
      <c r="B101" s="14" t="inlineStr">
        <is>
          <t>عروض الأسعار</t>
        </is>
      </c>
      <c r="C101" s="15" t="inlineStr">
        <is>
          <t>إرسال العرض «رابط فقط»</t>
        </is>
      </c>
      <c r="D101" s="14" t="inlineStr">
        <is>
          <t>عرض معتمد</t>
        </is>
      </c>
      <c r="E101" s="14" t="inlineStr">
        <is>
          <t>1. إرسال ← رابط</t>
        </is>
      </c>
      <c r="F101" s="14" t="inlineStr">
        <is>
          <t>الحالة «مُرسل»، يُنشأ publicToken (24 بايت base64url) ورابط /q/{token}، يُؤرشف PDF في issued_document مع sha256، audit send، نشاط على العرض والعميل</t>
        </is>
      </c>
      <c r="G101" s="13" t="inlineStr">
        <is>
          <t>P1</t>
        </is>
      </c>
      <c r="H101" s="14" t="inlineStr">
        <is>
          <t>وظيفي</t>
        </is>
      </c>
      <c r="I101" s="13" t="inlineStr">
        <is>
          <t>لم يُختبر</t>
        </is>
      </c>
      <c r="J101" s="14" t="inlineStr"/>
      <c r="K101" s="13" t="inlineStr"/>
      <c r="L101" s="14" t="inlineStr"/>
    </row>
    <row r="102">
      <c r="A102" s="13" t="inlineStr">
        <is>
          <t>TC-A-101</t>
        </is>
      </c>
      <c r="B102" s="14" t="inlineStr">
        <is>
          <t>عروض الأسعار</t>
        </is>
      </c>
      <c r="C102" s="15" t="inlineStr">
        <is>
          <t>التسلسل يبدأ من 1 يوميًا حسب توقيت الرياض</t>
        </is>
      </c>
      <c r="D102" s="14" t="inlineStr">
        <is>
          <t>—</t>
        </is>
      </c>
      <c r="E102" s="14" t="inlineStr">
        <is>
          <t>1. أنشئ عرضًا الساعة 23:30 بتوقيت الرياض (20:30 UTC)
2. أنشئ عرضًا بعد منتصف الليل بتوقيت الرياض (21:05 UTC)</t>
        </is>
      </c>
      <c r="F102" s="14" t="inlineStr">
        <is>
          <t>العرض الثاني يحمل بادئة اليوم التالي وتسلسل 1؛ يُحتسب اليوم بـ Asia/Riyadh وليس UTC</t>
        </is>
      </c>
      <c r="G102" s="13" t="inlineStr">
        <is>
          <t>P2</t>
        </is>
      </c>
      <c r="H102" s="14" t="inlineStr">
        <is>
          <t>حالات حدّية</t>
        </is>
      </c>
      <c r="I102" s="13" t="inlineStr">
        <is>
          <t>لم يُختبر</t>
        </is>
      </c>
      <c r="J102" s="14" t="inlineStr"/>
      <c r="K102" s="13" t="inlineStr"/>
      <c r="L102" s="14" t="inlineStr"/>
    </row>
    <row r="103">
      <c r="A103" s="13" t="inlineStr">
        <is>
          <t>TC-A-102</t>
        </is>
      </c>
      <c r="B103" s="14" t="inlineStr">
        <is>
          <t>عروض الأسعار</t>
        </is>
      </c>
      <c r="C103" s="15" t="inlineStr">
        <is>
          <t>تغيير نقطة البداية للأمام فقط</t>
        </is>
      </c>
      <c r="D103" s="14" t="inlineStr">
        <is>
          <t>مالك؛ آخر تسلسل للعقود 12</t>
        </is>
      </c>
      <c r="E103" s="14" t="inlineStr">
        <is>
          <t>1. الإعدادات ← المستندات والترقيم ← العقود: startAt=5
2. ثم startAt=100
3. PUT بنمط بدون {SEQ}</t>
        </is>
      </c>
      <c r="F103" s="14" t="inlineStr">
        <is>
          <t>startAt=5 لا يرجع العداد (التالي 13)؛ startAt=100 يجعل التالي MMCT-100؛ النمط بدون {SEQ} مرفوض «pattern must contain {SEQ}»</t>
        </is>
      </c>
      <c r="G103" s="13" t="inlineStr">
        <is>
          <t>P2</t>
        </is>
      </c>
      <c r="H103" s="14" t="inlineStr">
        <is>
          <t>حالات حدّية</t>
        </is>
      </c>
      <c r="I103" s="13" t="inlineStr">
        <is>
          <t>لم يُختبر</t>
        </is>
      </c>
      <c r="J103" s="14" t="inlineStr"/>
      <c r="K103" s="13" t="inlineStr"/>
      <c r="L103" s="14" t="inlineStr"/>
    </row>
    <row r="104">
      <c r="A104" s="13" t="inlineStr">
        <is>
          <t>TC-A-103</t>
        </is>
      </c>
      <c r="B104" s="14" t="inlineStr">
        <is>
          <t>عروض الأسعار</t>
        </is>
      </c>
      <c r="C104" s="15" t="inlineStr">
        <is>
          <t>سعر INS يدوي يبقى بعد إعادة الحساب</t>
        </is>
      </c>
      <c r="D104" s="14" t="inlineStr">
        <is>
          <t>عرض فيه INS</t>
        </is>
      </c>
      <c r="E104" s="14" t="inlineStr">
        <is>
          <t>1. عدّل سعر INS يدويًا إلى 500 (manualPrice)
2. غيّر كميات البنود</t>
        </is>
      </c>
      <c r="F104" s="14" t="inlineStr">
        <is>
          <t>يبقى INS = 500 ولا يُعاد حسابه، ويبقى في آخر الجدول</t>
        </is>
      </c>
      <c r="G104" s="13" t="inlineStr">
        <is>
          <t>P2</t>
        </is>
      </c>
      <c r="H104" s="14" t="inlineStr">
        <is>
          <t>حالات حدّية</t>
        </is>
      </c>
      <c r="I104" s="13" t="inlineStr">
        <is>
          <t>لم يُختبر</t>
        </is>
      </c>
      <c r="J104" s="14" t="inlineStr"/>
      <c r="K104" s="13" t="inlineStr"/>
      <c r="L104" s="14" t="inlineStr"/>
    </row>
    <row r="105">
      <c r="A105" s="13" t="inlineStr">
        <is>
          <t>TC-A-104</t>
        </is>
      </c>
      <c r="B105" s="14" t="inlineStr">
        <is>
          <t>عروض الأسعار</t>
        </is>
      </c>
      <c r="C105" s="15" t="inlineStr">
        <is>
          <t>حذف INS عمدًا لا يعيده</t>
        </is>
      </c>
      <c r="D105" s="14" t="inlineStr">
        <is>
          <t>عرض فيه INS</t>
        </is>
      </c>
      <c r="E105" s="14" t="inlineStr">
        <is>
          <t>1. احذف INS (insDeleted=true)
2. أضف منتجًا له تركيب واحفظ</t>
        </is>
      </c>
      <c r="F105" s="14" t="inlineStr">
        <is>
          <t>لا يعود INS</t>
        </is>
      </c>
      <c r="G105" s="13" t="inlineStr">
        <is>
          <t>P2</t>
        </is>
      </c>
      <c r="H105" s="14" t="inlineStr">
        <is>
          <t>حالات حدّية</t>
        </is>
      </c>
      <c r="I105" s="13" t="inlineStr">
        <is>
          <t>لم يُختبر</t>
        </is>
      </c>
      <c r="J105" s="14" t="inlineStr"/>
      <c r="K105" s="13" t="inlineStr"/>
      <c r="L105" s="14" t="inlineStr"/>
    </row>
    <row r="106">
      <c r="A106" s="13" t="inlineStr">
        <is>
          <t>TC-A-105</t>
        </is>
      </c>
      <c r="B106" s="14" t="inlineStr">
        <is>
          <t>عروض الأسعار</t>
        </is>
      </c>
      <c r="C106" s="15" t="inlineStr">
        <is>
          <t>توزيع الخصم والضريبة على البنود بالهللة</t>
        </is>
      </c>
      <c r="D106" s="14" t="inlineStr">
        <is>
          <t>3 بنود: 333.33 و333.33 و333.34، خصم 10%</t>
        </is>
      </c>
      <c r="E106" s="14" t="inlineStr">
        <is>
          <t>1. احفظ وافحص computed.lines</t>
        </is>
      </c>
      <c r="F106" s="14" t="inlineStr">
        <is>
          <t>مجموع خصم البنود = خصم المستند بالضبط ومجموع ضريبة البنود = ضريبة المستند (أكبر باقٍ)، مطابق للفاتورة لاحقًا</t>
        </is>
      </c>
      <c r="G106" s="13" t="inlineStr">
        <is>
          <t>P2</t>
        </is>
      </c>
      <c r="H106" s="14" t="inlineStr">
        <is>
          <t>حالات حدّية</t>
        </is>
      </c>
      <c r="I106" s="13" t="inlineStr">
        <is>
          <t>لم يُختبر</t>
        </is>
      </c>
      <c r="J106" s="14" t="inlineStr"/>
      <c r="K106" s="13" t="inlineStr"/>
      <c r="L106" s="14" t="inlineStr"/>
    </row>
    <row r="107">
      <c r="A107" s="13" t="inlineStr">
        <is>
          <t>TC-A-106</t>
        </is>
      </c>
      <c r="B107" s="14" t="inlineStr">
        <is>
          <t>عروض الأسعار</t>
        </is>
      </c>
      <c r="C107" s="15" t="inlineStr">
        <is>
          <t>بند مجاني FREE</t>
        </is>
      </c>
      <c r="D107" s="14" t="inlineStr">
        <is>
          <t>منتج سعره 450</t>
        </is>
      </c>
      <c r="E107" s="14" t="inlineStr">
        <is>
          <t>1. اجعل سعر البند 0</t>
        </is>
      </c>
      <c r="F107" s="14" t="inlineStr">
        <is>
          <t>يظهر «FREE» مع 450 مشطوبًا، ويُحتسب في discountFromListPercent</t>
        </is>
      </c>
      <c r="G107" s="13" t="inlineStr">
        <is>
          <t>P2</t>
        </is>
      </c>
      <c r="H107" s="14" t="inlineStr">
        <is>
          <t>واجهة وعرض</t>
        </is>
      </c>
      <c r="I107" s="13" t="inlineStr">
        <is>
          <t>لم يُختبر</t>
        </is>
      </c>
      <c r="J107" s="14" t="inlineStr"/>
      <c r="K107" s="13" t="inlineStr"/>
      <c r="L107" s="14" t="inlineStr"/>
    </row>
    <row r="108">
      <c r="A108" s="13" t="inlineStr">
        <is>
          <t>TC-A-107</t>
        </is>
      </c>
      <c r="B108" s="14" t="inlineStr">
        <is>
          <t>عروض الأسعار</t>
        </is>
      </c>
      <c r="C108" s="15" t="inlineStr">
        <is>
          <t>سعر أقل من سعر القائمة يُشطب</t>
        </is>
      </c>
      <c r="D108" s="14" t="inlineStr">
        <is>
          <t>منتج 450</t>
        </is>
      </c>
      <c r="E108" s="14" t="inlineStr">
        <is>
          <t>1. اجعل سعر البند 400</t>
        </is>
      </c>
      <c r="F108" s="14" t="inlineStr">
        <is>
          <t>يظهر 450 مشطوبًا بجوار 400 (struck=true)</t>
        </is>
      </c>
      <c r="G108" s="13" t="inlineStr">
        <is>
          <t>P2</t>
        </is>
      </c>
      <c r="H108" s="14" t="inlineStr">
        <is>
          <t>واجهة وعرض</t>
        </is>
      </c>
      <c r="I108" s="13" t="inlineStr">
        <is>
          <t>لم يُختبر</t>
        </is>
      </c>
      <c r="J108" s="14" t="inlineStr"/>
      <c r="K108" s="13" t="inlineStr"/>
      <c r="L108" s="14" t="inlineStr"/>
    </row>
    <row r="109">
      <c r="A109" s="13" t="inlineStr">
        <is>
          <t>TC-A-108</t>
        </is>
      </c>
      <c r="B109" s="14" t="inlineStr">
        <is>
          <t>عروض الأسعار</t>
        </is>
      </c>
      <c r="C109" s="15" t="inlineStr">
        <is>
          <t>الأقسام ومجاميعها</t>
        </is>
      </c>
      <c r="D109" s="14" t="inlineStr">
        <is>
          <t>—</t>
        </is>
      </c>
      <c r="E109" s="14" t="inlineStr">
        <is>
          <t>1. أضف قسمين «الأبواب» و«الشقق» ووزّع البنود
2. أرسل مفتاح قسم مكرر عبر API</t>
        </is>
      </c>
      <c r="F109" s="14" t="inlineStr">
        <is>
          <t>مجموع فرعي لكل قسم، INS يبقى في الأسفل خارج الأقسام؛ المفتاح المكرر «section key "x" appears twice»</t>
        </is>
      </c>
      <c r="G109" s="13" t="inlineStr">
        <is>
          <t>P2</t>
        </is>
      </c>
      <c r="H109" s="14" t="inlineStr">
        <is>
          <t>وظيفي</t>
        </is>
      </c>
      <c r="I109" s="13" t="inlineStr">
        <is>
          <t>لم يُختبر</t>
        </is>
      </c>
      <c r="J109" s="14" t="inlineStr"/>
      <c r="K109" s="13" t="inlineStr"/>
      <c r="L109" s="14" t="inlineStr"/>
    </row>
    <row r="110">
      <c r="A110" s="13" t="inlineStr">
        <is>
          <t>TC-A-109</t>
        </is>
      </c>
      <c r="B110" s="14" t="inlineStr">
        <is>
          <t>عروض الأسعار</t>
        </is>
      </c>
      <c r="C110" s="15" t="inlineStr">
        <is>
          <t>الإجمالي كتابةً (تفقيط)</t>
        </is>
      </c>
      <c r="D110" s="14" t="inlineStr">
        <is>
          <t>عرض إجماليه 4,830.50</t>
        </is>
      </c>
      <c r="E110" s="14" t="inlineStr">
        <is>
          <t>1. افتح العرض وPDF</t>
        </is>
      </c>
      <c r="F110" s="14" t="inlineStr">
        <is>
          <t>يظهر «أربعة آلاف وثمانمائة وثلاثون ريال سعودي وخمسون هللة» (صيغة tafqit الموروثة) ومطابق للنظام القديم</t>
        </is>
      </c>
      <c r="G110" s="13" t="inlineStr">
        <is>
          <t>P2</t>
        </is>
      </c>
      <c r="H110" s="14" t="inlineStr">
        <is>
          <t>واجهة وعرض</t>
        </is>
      </c>
      <c r="I110" s="13" t="inlineStr">
        <is>
          <t>لم يُختبر</t>
        </is>
      </c>
      <c r="J110" s="14" t="inlineStr"/>
      <c r="K110" s="13" t="inlineStr"/>
      <c r="L110" s="14" t="inlineStr"/>
    </row>
    <row r="111">
      <c r="A111" s="13" t="inlineStr">
        <is>
          <t>TC-A-110</t>
        </is>
      </c>
      <c r="B111" s="14" t="inlineStr">
        <is>
          <t>عروض الأسعار</t>
        </is>
      </c>
      <c r="C111" s="15" t="inlineStr">
        <is>
          <t>إيقاف الضريبة لعرض واحد</t>
        </is>
      </c>
      <c r="D111" s="14" t="inlineStr">
        <is>
          <t>المنشأة مسجلة</t>
        </is>
      </c>
      <c r="E111" s="14" t="inlineStr">
        <is>
          <t>1. أطفئ مفتاح الضريبة في العرض</t>
        </is>
      </c>
      <c r="F111" s="14" t="inlineStr">
        <is>
          <t>الضريبة 0 لهذا العرض فقط؛ العقد الناتج يحمل صياغة «غير شامل الضريبة» حسب vatOn</t>
        </is>
      </c>
      <c r="G111" s="13" t="inlineStr">
        <is>
          <t>P2</t>
        </is>
      </c>
      <c r="H111" s="14" t="inlineStr">
        <is>
          <t>وظيفي</t>
        </is>
      </c>
      <c r="I111" s="13" t="inlineStr">
        <is>
          <t>لم يُختبر</t>
        </is>
      </c>
      <c r="J111" s="14" t="inlineStr"/>
      <c r="K111" s="13" t="inlineStr"/>
      <c r="L111" s="14" t="inlineStr"/>
    </row>
    <row r="112">
      <c r="A112" s="13" t="inlineStr">
        <is>
          <t>TC-A-111</t>
        </is>
      </c>
      <c r="B112" s="14" t="inlineStr">
        <is>
          <t>عروض الأسعار</t>
        </is>
      </c>
      <c r="C112" s="15" t="inlineStr">
        <is>
          <t>هامش منخفض يحتاج موافقة</t>
        </is>
      </c>
      <c r="D112" s="14" t="inlineStr">
        <is>
          <t>بنود بتكلفة معروفة، هامش 15%</t>
        </is>
      </c>
      <c r="E112" s="14" t="inlineStr">
        <is>
          <t>1. اعتمد العرض</t>
        </is>
      </c>
      <c r="F112" s="14" t="inlineStr">
        <is>
          <t>سبب «margin 15% &lt; 20%» وحالة بانتظار الموافقة</t>
        </is>
      </c>
      <c r="G112" s="13" t="inlineStr">
        <is>
          <t>P2</t>
        </is>
      </c>
      <c r="H112" s="14" t="inlineStr">
        <is>
          <t>وظيفي</t>
        </is>
      </c>
      <c r="I112" s="13" t="inlineStr">
        <is>
          <t>لم يُختبر</t>
        </is>
      </c>
      <c r="J112" s="14" t="inlineStr"/>
      <c r="K112" s="13" t="inlineStr"/>
      <c r="L112" s="14" t="inlineStr"/>
    </row>
    <row r="113">
      <c r="A113" s="13" t="inlineStr">
        <is>
          <t>TC-A-112</t>
        </is>
      </c>
      <c r="B113" s="14" t="inlineStr">
        <is>
          <t>عروض الأسعار</t>
        </is>
      </c>
      <c r="C113" s="15" t="inlineStr">
        <is>
          <t>رفض الموافقة يتطلب تعليقًا</t>
        </is>
      </c>
      <c r="D113" s="14" t="inlineStr">
        <is>
          <t>عرض بانتظار الموافقة</t>
        </is>
      </c>
      <c r="E113" s="14" t="inlineStr">
        <is>
          <t>1. اضغط رفض دون تعليق
2. ثم مع تعليق «الخصم كبير»</t>
        </is>
      </c>
      <c r="F113" s="14" t="inlineStr">
        <is>
          <t>بلا تعليق: رفض التحقق؛ مع تعليق: يعود العرض مسودة ويُسجل التعليق في approvals وaudit</t>
        </is>
      </c>
      <c r="G113" s="13" t="inlineStr">
        <is>
          <t>P2</t>
        </is>
      </c>
      <c r="H113" s="14" t="inlineStr">
        <is>
          <t>تحقق من المدخلات</t>
        </is>
      </c>
      <c r="I113" s="13" t="inlineStr">
        <is>
          <t>لم يُختبر</t>
        </is>
      </c>
      <c r="J113" s="14" t="inlineStr"/>
      <c r="K113" s="13" t="inlineStr"/>
      <c r="L113" s="14" t="inlineStr"/>
    </row>
    <row r="114">
      <c r="A114" s="13" t="inlineStr">
        <is>
          <t>TC-A-113</t>
        </is>
      </c>
      <c r="B114" s="14" t="inlineStr">
        <is>
          <t>عروض الأسعار</t>
        </is>
      </c>
      <c r="C114" s="15" t="inlineStr">
        <is>
          <t>قيود النسخة المعدلة</t>
        </is>
      </c>
      <c r="D114" s="14" t="inlineStr">
        <is>
          <t>عروض بحالات مختلفة</t>
        </is>
      </c>
      <c r="E114" s="14" t="inlineStr">
        <is>
          <t>1. اطلب نسخة معدلة لمسودة
2. لعرض مقبول</t>
        </is>
      </c>
      <c r="F114" s="14" t="inlineStr">
        <is>
          <t>المسودة: «edit the draft directly — revisions are for quotes already sent»؛ المقبول: «a accepted quote cannot be revised»</t>
        </is>
      </c>
      <c r="G114" s="13" t="inlineStr">
        <is>
          <t>P2</t>
        </is>
      </c>
      <c r="H114" s="14" t="inlineStr">
        <is>
          <t>تحقق من المدخلات</t>
        </is>
      </c>
      <c r="I114" s="13" t="inlineStr">
        <is>
          <t>لم يُختبر</t>
        </is>
      </c>
      <c r="J114" s="14" t="inlineStr"/>
      <c r="K114" s="13" t="inlineStr"/>
      <c r="L114" s="14" t="inlineStr"/>
    </row>
    <row r="115">
      <c r="A115" s="13" t="inlineStr">
        <is>
          <t>TC-A-114</t>
        </is>
      </c>
      <c r="B115" s="14" t="inlineStr">
        <is>
          <t>عروض الأسعار</t>
        </is>
      </c>
      <c r="C115" s="15" t="inlineStr">
        <is>
          <t>انتقالات الحالة غير المسموحة</t>
        </is>
      </c>
      <c r="D115" s="14" t="inlineStr">
        <is>
          <t>عرض مقبول</t>
        </is>
      </c>
      <c r="E115" s="14" t="inlineStr">
        <is>
          <t>1. POST /api/quotes/{id}/status بـ status=sent</t>
        </is>
      </c>
      <c r="F115" s="14" t="inlineStr">
        <is>
          <t>400 «cannot move a accepted quote to sent»</t>
        </is>
      </c>
      <c r="G115" s="13" t="inlineStr">
        <is>
          <t>P2</t>
        </is>
      </c>
      <c r="H115" s="14" t="inlineStr">
        <is>
          <t>تحقق من المدخلات</t>
        </is>
      </c>
      <c r="I115" s="13" t="inlineStr">
        <is>
          <t>لم يُختبر</t>
        </is>
      </c>
      <c r="J115" s="14" t="inlineStr"/>
      <c r="K115" s="13" t="inlineStr"/>
      <c r="L115" s="14" t="inlineStr"/>
    </row>
    <row r="116">
      <c r="A116" s="13" t="inlineStr">
        <is>
          <t>TC-A-115</t>
        </is>
      </c>
      <c r="B116" s="14" t="inlineStr">
        <is>
          <t>عروض الأسعار</t>
        </is>
      </c>
      <c r="C116" s="15" t="inlineStr">
        <is>
          <t>تقديم عرض بلا بنود</t>
        </is>
      </c>
      <c r="D116" s="14" t="inlineStr">
        <is>
          <t>مسودة فارغة</t>
        </is>
      </c>
      <c r="E116" s="14" t="inlineStr">
        <is>
          <t>1. اعتمد العرض</t>
        </is>
      </c>
      <c r="F116" s="14" t="inlineStr">
        <is>
          <t>400 «add at least one line»</t>
        </is>
      </c>
      <c r="G116" s="13" t="inlineStr">
        <is>
          <t>P2</t>
        </is>
      </c>
      <c r="H116" s="14" t="inlineStr">
        <is>
          <t>تحقق من المدخلات</t>
        </is>
      </c>
      <c r="I116" s="13" t="inlineStr">
        <is>
          <t>لم يُختبر</t>
        </is>
      </c>
      <c r="J116" s="14" t="inlineStr"/>
      <c r="K116" s="13" t="inlineStr"/>
      <c r="L116" s="14" t="inlineStr"/>
    </row>
    <row r="117">
      <c r="A117" s="13" t="inlineStr">
        <is>
          <t>TC-A-116</t>
        </is>
      </c>
      <c r="B117" s="14" t="inlineStr">
        <is>
          <t>عروض الأسعار</t>
        </is>
      </c>
      <c r="C117" s="15" t="inlineStr">
        <is>
          <t>تصدير Excel للعرض حسب الدور</t>
        </is>
      </c>
      <c r="D117" s="14" t="inlineStr">
        <is>
          <t>مندوب ومدير</t>
        </is>
      </c>
      <c r="E117" s="14" t="inlineStr">
        <is>
          <t>1. المزيد ← تصدير Excel بكل حساب</t>
        </is>
      </c>
      <c r="F117" s="14" t="inlineStr">
        <is>
          <t>Excel مقسم حسب الأقسام؛ المندوب لا يرى أعمدة التكلفة؛ المدير يراها</t>
        </is>
      </c>
      <c r="G117" s="13" t="inlineStr">
        <is>
          <t>P2</t>
        </is>
      </c>
      <c r="H117" s="14" t="inlineStr">
        <is>
          <t>صلاحيات</t>
        </is>
      </c>
      <c r="I117" s="13" t="inlineStr">
        <is>
          <t>لم يُختبر</t>
        </is>
      </c>
      <c r="J117" s="14" t="inlineStr"/>
      <c r="K117" s="13" t="inlineStr"/>
      <c r="L117" s="14" t="inlineStr"/>
    </row>
    <row r="118">
      <c r="A118" s="13" t="inlineStr">
        <is>
          <t>TC-A-117</t>
        </is>
      </c>
      <c r="B118" s="14" t="inlineStr">
        <is>
          <t>عروض الأسعار</t>
        </is>
      </c>
      <c r="C118" s="15" t="inlineStr">
        <is>
          <t>إرسال عبر واتساب بدون رقم</t>
        </is>
      </c>
      <c r="D118" s="14" t="inlineStr">
        <is>
          <t>عرض لعميل بلا جوال</t>
        </is>
      </c>
      <c r="E118" s="14" t="inlineStr">
        <is>
          <t>1. إرسال ← واتساب دون رقم</t>
        </is>
      </c>
      <c r="F118" s="14" t="inlineStr">
        <is>
          <t>400 «no recipient — add a mobile/e-mail»</t>
        </is>
      </c>
      <c r="G118" s="13" t="inlineStr">
        <is>
          <t>P2</t>
        </is>
      </c>
      <c r="H118" s="14" t="inlineStr">
        <is>
          <t>تحقق من المدخلات</t>
        </is>
      </c>
      <c r="I118" s="13" t="inlineStr">
        <is>
          <t>لم يُختبر</t>
        </is>
      </c>
      <c r="J118" s="14" t="inlineStr"/>
      <c r="K118" s="13" t="inlineStr"/>
      <c r="L118" s="14" t="inlineStr"/>
    </row>
    <row r="119">
      <c r="A119" s="13" t="inlineStr">
        <is>
          <t>TC-A-118</t>
        </is>
      </c>
      <c r="B119" s="14" t="inlineStr">
        <is>
          <t>عروض الأسعار</t>
        </is>
      </c>
      <c r="C119" s="15" t="inlineStr">
        <is>
          <t>إرسال عبر واتساب في وضع المحاكاة</t>
        </is>
      </c>
      <c r="D119" s="14" t="inlineStr">
        <is>
          <t>عرض معتمد وجهة اتصال بجوال</t>
        </is>
      </c>
      <c r="E119" s="14" t="inlineStr">
        <is>
          <t>1. إرسال ← واتساب ← اختر جهة الاتصال</t>
        </is>
      </c>
      <c r="F119" s="14" t="inlineStr">
        <is>
          <t>تُسجَّل الرسالة بقالب quote_sent والرقم والرابط دون إرسال فعلي؛ تظهر في محادثات العميل</t>
        </is>
      </c>
      <c r="G119" s="13" t="inlineStr">
        <is>
          <t>P2</t>
        </is>
      </c>
      <c r="H119" s="14" t="inlineStr">
        <is>
          <t>تكامل</t>
        </is>
      </c>
      <c r="I119" s="13" t="inlineStr">
        <is>
          <t>لم يُختبر</t>
        </is>
      </c>
      <c r="J119" s="14" t="inlineStr"/>
      <c r="K119" s="13" t="inlineStr"/>
      <c r="L119" s="14" t="inlineStr"/>
    </row>
    <row r="120">
      <c r="A120" s="13" t="inlineStr">
        <is>
          <t>TC-A-119</t>
        </is>
      </c>
      <c r="B120" s="14" t="inlineStr">
        <is>
          <t>عروض الأسعار</t>
        </is>
      </c>
      <c r="C120" s="15" t="inlineStr">
        <is>
          <t>المرحلة في الفرصة تتحرك عند الإرسال والقبول</t>
        </is>
      </c>
      <c r="D120" s="14" t="inlineStr">
        <is>
          <t>عرض مرتبط بفرصة</t>
        </is>
      </c>
      <c r="E120" s="14" t="inlineStr">
        <is>
          <t>1. أرسل العرض
2. اقبله</t>
        </is>
      </c>
      <c r="F120" s="14" t="inlineStr">
        <is>
          <t>الفرصة تنتقل إلى «quoted» ثم «won»</t>
        </is>
      </c>
      <c r="G120" s="13" t="inlineStr">
        <is>
          <t>P2</t>
        </is>
      </c>
      <c r="H120" s="14" t="inlineStr">
        <is>
          <t>تكامل</t>
        </is>
      </c>
      <c r="I120" s="13" t="inlineStr">
        <is>
          <t>لم يُختبر</t>
        </is>
      </c>
      <c r="J120" s="14" t="inlineStr"/>
      <c r="K120" s="13" t="inlineStr"/>
      <c r="L120" s="14" t="inlineStr"/>
    </row>
    <row r="121">
      <c r="A121" s="13" t="inlineStr">
        <is>
          <t>TC-A-120</t>
        </is>
      </c>
      <c r="B121" s="14" t="inlineStr">
        <is>
          <t>عروض الأسعار</t>
        </is>
      </c>
      <c r="C121" s="15" t="inlineStr">
        <is>
          <t>حد السنة: 31 ديسمبر</t>
        </is>
      </c>
      <c r="D121" s="14" t="inlineStr">
        <is>
          <t>ساعة النظام 2026-12-31</t>
        </is>
      </c>
      <c r="E121" s="14" t="inlineStr">
        <is>
          <t>1. أنشئ عرضًا</t>
        </is>
      </c>
      <c r="F121" s="14" t="inlineStr">
        <is>
          <t>البادئة MMC-265331 (YY سنة ميلادية، والأسبوع ISO 53) مطابقة للنظام القديم</t>
        </is>
      </c>
      <c r="G121" s="13" t="inlineStr">
        <is>
          <t>P3</t>
        </is>
      </c>
      <c r="H121" s="14" t="inlineStr">
        <is>
          <t>حالات حدّية</t>
        </is>
      </c>
      <c r="I121" s="13" t="inlineStr">
        <is>
          <t>لم يُختبر</t>
        </is>
      </c>
      <c r="J121" s="14" t="inlineStr"/>
      <c r="K121" s="13" t="inlineStr"/>
      <c r="L121" s="14" t="inlineStr"/>
    </row>
    <row r="122">
      <c r="A122" s="13" t="inlineStr">
        <is>
          <t>TC-A-121</t>
        </is>
      </c>
      <c r="B122" s="14" t="inlineStr">
        <is>
          <t>عروض الأسعار</t>
        </is>
      </c>
      <c r="C122" s="15" t="inlineStr">
        <is>
          <t>حدود عدد البنود والأقسام</t>
        </is>
      </c>
      <c r="D122" s="14" t="inlineStr">
        <is>
          <t>—</t>
        </is>
      </c>
      <c r="E122" s="14" t="inlineStr">
        <is>
          <t>1. أرسل 501 بند
2. أرسل 101 قسم</t>
        </is>
      </c>
      <c r="F122" s="14" t="inlineStr">
        <is>
          <t>رفض التحقق (max 500 بند، 100 قسم)</t>
        </is>
      </c>
      <c r="G122" s="13" t="inlineStr">
        <is>
          <t>P3</t>
        </is>
      </c>
      <c r="H122" s="14" t="inlineStr">
        <is>
          <t>حالات حدّية</t>
        </is>
      </c>
      <c r="I122" s="13" t="inlineStr">
        <is>
          <t>لم يُختبر</t>
        </is>
      </c>
      <c r="J122" s="14" t="inlineStr"/>
      <c r="K122" s="13" t="inlineStr"/>
      <c r="L122" s="14" t="inlineStr"/>
    </row>
    <row r="123">
      <c r="A123" s="13" t="inlineStr">
        <is>
          <t>TC-A-122</t>
        </is>
      </c>
      <c r="B123" s="14" t="inlineStr">
        <is>
          <t>عروض الأسعار</t>
        </is>
      </c>
      <c r="C123" s="15" t="inlineStr">
        <is>
          <t>تفقيط حالات حدية</t>
        </is>
      </c>
      <c r="D123" s="14" t="inlineStr">
        <is>
          <t>—</t>
        </is>
      </c>
      <c r="E123" s="14" t="inlineStr">
        <is>
          <t>1. أجمالي 1، 2، 1000، 2000، 1,000,000، 0.05</t>
        </is>
      </c>
      <c r="F123" s="14" t="inlineStr">
        <is>
          <t>«واحد/ألف/ألفان/مليون...» بالصيغ الصحيحة للمثنى والجمع؛ لا كلمات فارغة</t>
        </is>
      </c>
      <c r="G123" s="13" t="inlineStr">
        <is>
          <t>P3</t>
        </is>
      </c>
      <c r="H123" s="14" t="inlineStr">
        <is>
          <t>حالات حدّية</t>
        </is>
      </c>
      <c r="I123" s="13" t="inlineStr">
        <is>
          <t>لم يُختبر</t>
        </is>
      </c>
      <c r="J123" s="14" t="inlineStr"/>
      <c r="K123" s="13" t="inlineStr"/>
      <c r="L123" s="14" t="inlineStr"/>
    </row>
    <row r="124">
      <c r="A124" s="13" t="inlineStr">
        <is>
          <t>TC-A-123</t>
        </is>
      </c>
      <c r="B124" s="14" t="inlineStr">
        <is>
          <t>عروض الأسعار</t>
        </is>
      </c>
      <c r="C124" s="15" t="inlineStr">
        <is>
          <t>تكرار العرض</t>
        </is>
      </c>
      <c r="D124" s="14" t="inlineStr">
        <is>
          <t>عرض قائم</t>
        </is>
      </c>
      <c r="E124" s="14" t="inlineStr">
        <is>
          <t>1. «تكرار»</t>
        </is>
      </c>
      <c r="F124" s="14" t="inlineStr">
        <is>
          <t>⚠ للتأكيد (السلوك المتوقع افتراض وليس قاعدة في الكود): عرض جديد برقم جديد من اليوم وبنود مطابقة بحالة مسودة</t>
        </is>
      </c>
      <c r="G124" s="13" t="inlineStr">
        <is>
          <t>P3</t>
        </is>
      </c>
      <c r="H124" s="14" t="inlineStr">
        <is>
          <t>وظيفي</t>
        </is>
      </c>
      <c r="I124" s="13" t="inlineStr">
        <is>
          <t>لم يُختبر</t>
        </is>
      </c>
      <c r="J124" s="14" t="inlineStr"/>
      <c r="K124" s="13" t="inlineStr"/>
      <c r="L124" s="14" t="inlineStr"/>
    </row>
    <row r="125">
      <c r="A125" s="13" t="inlineStr">
        <is>
          <t>TC-A-124</t>
        </is>
      </c>
      <c r="B125" s="14" t="inlineStr">
        <is>
          <t>عروض الأسعار</t>
        </is>
      </c>
      <c r="C125" s="15" t="inlineStr">
        <is>
          <t>صلاحية العرض الافتراضية</t>
        </is>
      </c>
      <c r="D125" s="14" t="inlineStr">
        <is>
          <t>validityDays = 15 في الإعدادات</t>
        </is>
      </c>
      <c r="E125" s="14" t="inlineStr">
        <is>
          <t>1. أنشئ عرضًا دون validUntil</t>
        </is>
      </c>
      <c r="F125" s="14" t="inlineStr">
        <is>
          <t>validUntil = تاريخ العرض + 15 يومًا</t>
        </is>
      </c>
      <c r="G125" s="13" t="inlineStr">
        <is>
          <t>P3</t>
        </is>
      </c>
      <c r="H125" s="14" t="inlineStr">
        <is>
          <t>وظيفي</t>
        </is>
      </c>
      <c r="I125" s="13" t="inlineStr">
        <is>
          <t>لم يُختبر</t>
        </is>
      </c>
      <c r="J125" s="14" t="inlineStr"/>
      <c r="K125" s="13" t="inlineStr"/>
      <c r="L125" s="14" t="inlineStr"/>
    </row>
    <row r="126">
      <c r="A126" s="13" t="inlineStr">
        <is>
          <t>TC-A-125</t>
        </is>
      </c>
      <c r="B126" s="14" t="inlineStr">
        <is>
          <t>صفحة العرض العامة /q</t>
        </is>
      </c>
      <c r="C126" s="15" t="inlineStr">
        <is>
          <t>فتح الرابط العام دون تسجيل دخول</t>
        </is>
      </c>
      <c r="D126" s="14" t="inlineStr">
        <is>
          <t>عرض مُرسل</t>
        </is>
      </c>
      <c r="E126" s="14" t="inlineStr">
        <is>
          <t>1. افتح /q/{token} في نافذة خاصة</t>
        </is>
      </c>
      <c r="F126" s="14" t="inlineStr">
        <is>
          <t>تظهر البنود والإجماليات وبيانات المنشأة؛ تتغير الحالة إلى «viewed» مع viewedAt</t>
        </is>
      </c>
      <c r="G126" s="13" t="inlineStr">
        <is>
          <t>P1</t>
        </is>
      </c>
      <c r="H126" s="14" t="inlineStr">
        <is>
          <t>وظيفي</t>
        </is>
      </c>
      <c r="I126" s="13" t="inlineStr">
        <is>
          <t>لم يُختبر</t>
        </is>
      </c>
      <c r="J126" s="14" t="inlineStr"/>
      <c r="K126" s="13" t="inlineStr"/>
      <c r="L126" s="14" t="inlineStr"/>
    </row>
    <row r="127">
      <c r="A127" s="13" t="inlineStr">
        <is>
          <t>TC-A-126</t>
        </is>
      </c>
      <c r="B127" s="14" t="inlineStr">
        <is>
          <t>صفحة العرض العامة /q</t>
        </is>
      </c>
      <c r="C127" s="15" t="inlineStr">
        <is>
          <t>الصفحة العامة لا تكشف التكلفة أو الهامش</t>
        </is>
      </c>
      <c r="D127" s="14" t="inlineStr">
        <is>
          <t>عرض فيه unitCost وملاحظات داخلية</t>
        </is>
      </c>
      <c r="E127" s="14" t="inlineStr">
        <is>
          <t>1. افتح /q/{token}
2. افحص رد GET /api/public/quotes/{token} في أدوات المطور
3. نزّل PDF العام</t>
        </is>
      </c>
      <c r="F127" s="14" t="inlineStr">
        <is>
          <t>لا unitCost/cost/margin/marginPercent ولا ملاحظات داخلية في HTML أو JSON أو PDF</t>
        </is>
      </c>
      <c r="G127" s="13" t="inlineStr">
        <is>
          <t>P1</t>
        </is>
      </c>
      <c r="H127" s="14" t="inlineStr">
        <is>
          <t>أمان</t>
        </is>
      </c>
      <c r="I127" s="13" t="inlineStr">
        <is>
          <t>لم يُختبر</t>
        </is>
      </c>
      <c r="J127" s="14" t="inlineStr"/>
      <c r="K127" s="13" t="inlineStr"/>
      <c r="L127" s="14" t="inlineStr"/>
    </row>
    <row r="128">
      <c r="A128" s="13" t="inlineStr">
        <is>
          <t>TC-A-127</t>
        </is>
      </c>
      <c r="B128" s="14" t="inlineStr">
        <is>
          <t>صفحة العرض العامة /q</t>
        </is>
      </c>
      <c r="C128" s="15" t="inlineStr">
        <is>
          <t>تخمين الرموز</t>
        </is>
      </c>
      <c r="D128" s="14" t="inlineStr">
        <is>
          <t>—</t>
        </is>
      </c>
      <c r="E128" s="14" t="inlineStr">
        <is>
          <t>1. افتح /q/abc
2. افتح /q/ برمز صحيح الصيغة عشوائي 32 حرفًا
3. رمز يحوي رموزًا خاصة</t>
        </is>
      </c>
      <c r="F128" s="14" t="inlineStr">
        <is>
          <t>404 «link» لكل الحالات دون تمييز (صيغة [A-Za-z0-9_-]{20,64} ثم بحث)</t>
        </is>
      </c>
      <c r="G128" s="13" t="inlineStr">
        <is>
          <t>P1</t>
        </is>
      </c>
      <c r="H128" s="14" t="inlineStr">
        <is>
          <t>أمان</t>
        </is>
      </c>
      <c r="I128" s="13" t="inlineStr">
        <is>
          <t>لم يُختبر</t>
        </is>
      </c>
      <c r="J128" s="14" t="inlineStr"/>
      <c r="K128" s="13" t="inlineStr"/>
      <c r="L128" s="14" t="inlineStr"/>
    </row>
    <row r="129">
      <c r="A129" s="13" t="inlineStr">
        <is>
          <t>TC-A-128</t>
        </is>
      </c>
      <c r="B129" s="14" t="inlineStr">
        <is>
          <t>صفحة العرض العامة /q</t>
        </is>
      </c>
      <c r="C129" s="15" t="inlineStr">
        <is>
          <t>قبول العرض برمز OTP</t>
        </is>
      </c>
      <c r="D129" s="14" t="inlineStr">
        <is>
          <t>عرض مُرسل وجوال العميل محفوظ</t>
        </is>
      </c>
      <c r="E129" s="14" t="inlineStr">
        <is>
          <t>1. اضغط «قبول العرض» ← طلب الرمز
2. خذ الرمز من سجل الخادم
3. أدخل الاسم والرمز</t>
        </is>
      </c>
      <c r="F129" s="14" t="inlineStr">
        <is>
          <t>الرمز يُرسل للجوال المحفوظ فقط ويُعرض «•••• 4567» وصلاحية 10 دقائق؛ بعد الإدخال «شكرًا لك — تم قبول العرض»، الحالة «مقبول»، إشعار للمندوب، audit online_accepted مع IP وsha256</t>
        </is>
      </c>
      <c r="G129" s="13" t="inlineStr">
        <is>
          <t>P1</t>
        </is>
      </c>
      <c r="H129" s="14" t="inlineStr">
        <is>
          <t>وظيفي</t>
        </is>
      </c>
      <c r="I129" s="13" t="inlineStr">
        <is>
          <t>لم يُختبر</t>
        </is>
      </c>
      <c r="J129" s="14" t="inlineStr"/>
      <c r="K129" s="13" t="inlineStr"/>
      <c r="L129" s="14" t="inlineStr"/>
    </row>
    <row r="130">
      <c r="A130" s="13" t="inlineStr">
        <is>
          <t>TC-A-129</t>
        </is>
      </c>
      <c r="B130" s="14" t="inlineStr">
        <is>
          <t>صفحة العرض العامة /q</t>
        </is>
      </c>
      <c r="C130" s="15" t="inlineStr">
        <is>
          <t>رمز OTP خاطئ ومحاولات قصوى</t>
        </is>
      </c>
      <c r="D130" s="14" t="inlineStr">
        <is>
          <t>رمز مطلوب</t>
        </is>
      </c>
      <c r="E130" s="14" t="inlineStr">
        <is>
          <t>1. أدخل رمزًا خاطئًا 5 مرات
2. أدخل الرمز الصحيح</t>
        </is>
      </c>
      <c r="F130" s="14" t="inlineStr">
        <is>
          <t>كل خطأ «wrong code» ويُحتسب؛ بعد 5 «too many wrong attempts — request a new code»</t>
        </is>
      </c>
      <c r="G130" s="13" t="inlineStr">
        <is>
          <t>P1</t>
        </is>
      </c>
      <c r="H130" s="14" t="inlineStr">
        <is>
          <t>أمان</t>
        </is>
      </c>
      <c r="I130" s="13" t="inlineStr">
        <is>
          <t>لم يُختبر</t>
        </is>
      </c>
      <c r="J130" s="14" t="inlineStr"/>
      <c r="K130" s="13" t="inlineStr"/>
      <c r="L130" s="14" t="inlineStr"/>
    </row>
    <row r="131">
      <c r="A131" s="13" t="inlineStr">
        <is>
          <t>TC-A-130</t>
        </is>
      </c>
      <c r="B131" s="14" t="inlineStr">
        <is>
          <t>صفحة العرض العامة /q</t>
        </is>
      </c>
      <c r="C131" s="15" t="inlineStr">
        <is>
          <t>عرض منتهي الصلاحية</t>
        </is>
      </c>
      <c r="D131" s="14" t="inlineStr">
        <is>
          <t>validUntil أمس</t>
        </is>
      </c>
      <c r="E131" s="14" t="inlineStr">
        <is>
          <t>1. افتح الرابط
2. حاول طلب OTP</t>
        </is>
      </c>
      <c r="F131" s="14" t="inlineStr">
        <is>
          <t>«منتهي» وcanAccept=false، زر القبول مخفي</t>
        </is>
      </c>
      <c r="G131" s="13" t="inlineStr">
        <is>
          <t>P1</t>
        </is>
      </c>
      <c r="H131" s="14" t="inlineStr">
        <is>
          <t>حالات حدّية</t>
        </is>
      </c>
      <c r="I131" s="13" t="inlineStr">
        <is>
          <t>لم يُختبر</t>
        </is>
      </c>
      <c r="J131" s="14" t="inlineStr"/>
      <c r="K131" s="13" t="inlineStr"/>
      <c r="L131" s="14" t="inlineStr"/>
    </row>
    <row r="132">
      <c r="A132" s="13" t="inlineStr">
        <is>
          <t>TC-A-131</t>
        </is>
      </c>
      <c r="B132" s="14" t="inlineStr">
        <is>
          <t>صفحة العرض العامة /q</t>
        </is>
      </c>
      <c r="C132" s="15" t="inlineStr">
        <is>
          <t>انتهاء صلاحية OTP</t>
        </is>
      </c>
      <c r="D132" s="14" t="inlineStr">
        <is>
          <t>رمز عمره &gt; 10 دقائق</t>
        </is>
      </c>
      <c r="E132" s="14" t="inlineStr">
        <is>
          <t>1. أدخل الرمز</t>
        </is>
      </c>
      <c r="F132" s="14" t="inlineStr">
        <is>
          <t>«the code expired — request a new one»</t>
        </is>
      </c>
      <c r="G132" s="13" t="inlineStr">
        <is>
          <t>P2</t>
        </is>
      </c>
      <c r="H132" s="14" t="inlineStr">
        <is>
          <t>حالات حدّية</t>
        </is>
      </c>
      <c r="I132" s="13" t="inlineStr">
        <is>
          <t>لم يُختبر</t>
        </is>
      </c>
      <c r="J132" s="14" t="inlineStr"/>
      <c r="K132" s="13" t="inlineStr"/>
      <c r="L132" s="14" t="inlineStr"/>
    </row>
    <row r="133">
      <c r="A133" s="13" t="inlineStr">
        <is>
          <t>TC-A-132</t>
        </is>
      </c>
      <c r="B133" s="14" t="inlineStr">
        <is>
          <t>صفحة العرض العامة /q</t>
        </is>
      </c>
      <c r="C133" s="15" t="inlineStr">
        <is>
          <t>حد طلب الرموز 3 كل 10 دقائق</t>
        </is>
      </c>
      <c r="D133" s="14" t="inlineStr">
        <is>
          <t>—</t>
        </is>
      </c>
      <c r="E133" s="14" t="inlineStr">
        <is>
          <t>1. اطلب الرمز 4 مرات</t>
        </is>
      </c>
      <c r="F133" s="14" t="inlineStr">
        <is>
          <t>الرابع 403 «too many codes requested — try again in 10 minutes»</t>
        </is>
      </c>
      <c r="G133" s="13" t="inlineStr">
        <is>
          <t>P2</t>
        </is>
      </c>
      <c r="H133" s="14" t="inlineStr">
        <is>
          <t>أمان</t>
        </is>
      </c>
      <c r="I133" s="13" t="inlineStr">
        <is>
          <t>لم يُختبر</t>
        </is>
      </c>
      <c r="J133" s="14" t="inlineStr"/>
      <c r="K133" s="13" t="inlineStr"/>
      <c r="L133" s="14" t="inlineStr"/>
    </row>
    <row r="134">
      <c r="A134" s="13" t="inlineStr">
        <is>
          <t>TC-A-133</t>
        </is>
      </c>
      <c r="B134" s="14" t="inlineStr">
        <is>
          <t>صفحة العرض العامة /q</t>
        </is>
      </c>
      <c r="C134" s="15" t="inlineStr">
        <is>
          <t>رفض العرض من الرابط</t>
        </is>
      </c>
      <c r="D134" s="14" t="inlineStr">
        <is>
          <t>عرض مُرسل</t>
        </is>
      </c>
      <c r="E134" s="14" t="inlineStr">
        <is>
          <t>1. اختر رفض مع سبب واسم وOTP</t>
        </is>
      </c>
      <c r="F134" s="14" t="inlineStr">
        <is>
          <t>الحالة «مرفوض» مع السبب؛ إشعار «رفض العميل العرض ...»</t>
        </is>
      </c>
      <c r="G134" s="13" t="inlineStr">
        <is>
          <t>P2</t>
        </is>
      </c>
      <c r="H134" s="14" t="inlineStr">
        <is>
          <t>وظيفي</t>
        </is>
      </c>
      <c r="I134" s="13" t="inlineStr">
        <is>
          <t>لم يُختبر</t>
        </is>
      </c>
      <c r="J134" s="14" t="inlineStr"/>
      <c r="K134" s="13" t="inlineStr"/>
      <c r="L134" s="14" t="inlineStr"/>
    </row>
    <row r="135">
      <c r="A135" s="13" t="inlineStr">
        <is>
          <t>TC-A-134</t>
        </is>
      </c>
      <c r="B135" s="14" t="inlineStr">
        <is>
          <t>صفحة العرض العامة /q</t>
        </is>
      </c>
      <c r="C135" s="15" t="inlineStr">
        <is>
          <t>عرض مقبول أو مستبدل لا يُقبل ثانية</t>
        </is>
      </c>
      <c r="D135" s="14" t="inlineStr">
        <is>
          <t>—</t>
        </is>
      </c>
      <c r="E135" s="14" t="inlineStr">
        <is>
          <t>1. افتح رابط عرض مقبول واطلب OTP عبر API</t>
        </is>
      </c>
      <c r="F135" s="14" t="inlineStr">
        <is>
          <t>«this quote can no longer be accepted online»</t>
        </is>
      </c>
      <c r="G135" s="13" t="inlineStr">
        <is>
          <t>P2</t>
        </is>
      </c>
      <c r="H135" s="14" t="inlineStr">
        <is>
          <t>حالات حدّية</t>
        </is>
      </c>
      <c r="I135" s="13" t="inlineStr">
        <is>
          <t>لم يُختبر</t>
        </is>
      </c>
      <c r="J135" s="14" t="inlineStr"/>
      <c r="K135" s="13" t="inlineStr"/>
      <c r="L135" s="14" t="inlineStr"/>
    </row>
    <row r="136">
      <c r="A136" s="13" t="inlineStr">
        <is>
          <t>TC-A-135</t>
        </is>
      </c>
      <c r="B136" s="14" t="inlineStr">
        <is>
          <t>صفحة العرض العامة /q</t>
        </is>
      </c>
      <c r="C136" s="15" t="inlineStr">
        <is>
          <t>الصفحة العامة على الجوال وبالإنجليزية</t>
        </is>
      </c>
      <c r="D136" s="14" t="inlineStr">
        <is>
          <t>عرض language=en</t>
        </is>
      </c>
      <c r="E136" s="14" t="inlineStr">
        <is>
          <t>1. افتح على 375px</t>
        </is>
      </c>
      <c r="F136" s="14" t="inlineStr">
        <is>
          <t>التخطيط مناسب دون تمرير أفقي؛ الاتجاه حسب لغة العرض</t>
        </is>
      </c>
      <c r="G136" s="13" t="inlineStr">
        <is>
          <t>P2</t>
        </is>
      </c>
      <c r="H136" s="14" t="inlineStr">
        <is>
          <t>واجهة وعرض</t>
        </is>
      </c>
      <c r="I136" s="13" t="inlineStr">
        <is>
          <t>لم يُختبر</t>
        </is>
      </c>
      <c r="J136" s="14" t="inlineStr"/>
      <c r="K136" s="13" t="inlineStr"/>
      <c r="L136" s="14" t="inlineStr"/>
    </row>
    <row r="137">
      <c r="A137" s="13" t="inlineStr">
        <is>
          <t>TC-A-136</t>
        </is>
      </c>
      <c r="B137" s="14" t="inlineStr">
        <is>
          <t>صفحة العرض العامة /q</t>
        </is>
      </c>
      <c r="C137" s="15" t="inlineStr">
        <is>
          <t>لا OTP بدون جوال</t>
        </is>
      </c>
      <c r="D137" s="14" t="inlineStr">
        <is>
          <t>عرض بلا جوال عميل</t>
        </is>
      </c>
      <c r="E137" s="14" t="inlineStr">
        <is>
          <t>1. اطلب رمز القبول</t>
        </is>
      </c>
      <c r="F137" s="14" t="inlineStr">
        <is>
          <t>«no mobile number on file — contact your sales representative»</t>
        </is>
      </c>
      <c r="G137" s="13" t="inlineStr">
        <is>
          <t>P3</t>
        </is>
      </c>
      <c r="H137" s="14" t="inlineStr">
        <is>
          <t>تحقق من المدخلات</t>
        </is>
      </c>
      <c r="I137" s="13" t="inlineStr">
        <is>
          <t>لم يُختبر</t>
        </is>
      </c>
      <c r="J137" s="14" t="inlineStr"/>
      <c r="K137" s="13" t="inlineStr"/>
      <c r="L137" s="14" t="inlineStr"/>
    </row>
    <row r="138">
      <c r="A138" s="13" t="inlineStr">
        <is>
          <t>TC-A-137</t>
        </is>
      </c>
      <c r="B138" s="14" t="inlineStr">
        <is>
          <t>صفحة العرض العامة /q</t>
        </is>
      </c>
      <c r="C138" s="15" t="inlineStr">
        <is>
          <t>التحقق من اسم الموقّع</t>
        </is>
      </c>
      <c r="D138" s="14" t="inlineStr">
        <is>
          <t>—</t>
        </is>
      </c>
      <c r="E138" s="14" t="inlineStr">
        <is>
          <t>1. أدخل اسمًا من حرف واحد
2. 121 حرفًا</t>
        </is>
      </c>
      <c r="F138" s="14" t="inlineStr">
        <is>
          <t>رفض (2–120 حرفًا)</t>
        </is>
      </c>
      <c r="G138" s="13" t="inlineStr">
        <is>
          <t>P3</t>
        </is>
      </c>
      <c r="H138" s="14" t="inlineStr">
        <is>
          <t>تحقق من المدخلات</t>
        </is>
      </c>
      <c r="I138" s="13" t="inlineStr">
        <is>
          <t>لم يُختبر</t>
        </is>
      </c>
      <c r="J138" s="14" t="inlineStr"/>
      <c r="K138" s="13" t="inlineStr"/>
      <c r="L138" s="14" t="inlineStr"/>
    </row>
    <row r="139">
      <c r="A139" s="13" t="inlineStr">
        <is>
          <t>TC-A-138</t>
        </is>
      </c>
      <c r="B139" s="14" t="inlineStr">
        <is>
          <t>العقود وأوامر التغيير</t>
        </is>
      </c>
      <c r="C139" s="15" t="inlineStr">
        <is>
          <t>إنشاء عقد توريد وتركيب من عرض مقبول</t>
        </is>
      </c>
      <c r="D139" s="14" t="inlineStr">
        <is>
          <t>عرض مقبول إجماليه 5,800</t>
        </is>
      </c>
      <c r="E139" s="14" t="inlineStr">
        <is>
          <t>1. من العرض «إنشاء عقد» ← supply_install</t>
        </is>
      </c>
      <c r="F139" s="14" t="inlineStr">
        <is>
          <t>عقد MMCT-{n} مسودة بعنوان «عقد توريد وتركيب»، بنود العرض دون الاختيارية، جدول 50/40/10 (2,900/2,320/580)، بيانات العميل من الطرف وجهة الاتصال والعنوان الوطني؛ زر «إنشاء عقد» يتحول إلى رابط للعقد</t>
        </is>
      </c>
      <c r="G139" s="13" t="inlineStr">
        <is>
          <t>P1</t>
        </is>
      </c>
      <c r="H139" s="14" t="inlineStr">
        <is>
          <t>وظيفي</t>
        </is>
      </c>
      <c r="I139" s="13" t="inlineStr">
        <is>
          <t>لم يُختبر</t>
        </is>
      </c>
      <c r="J139" s="14" t="inlineStr"/>
      <c r="K139" s="13" t="inlineStr"/>
      <c r="L139" s="14" t="inlineStr"/>
    </row>
    <row r="140">
      <c r="A140" s="13" t="inlineStr">
        <is>
          <t>TC-A-139</t>
        </is>
      </c>
      <c r="B140" s="14" t="inlineStr">
        <is>
          <t>العقود وأوامر التغيير</t>
        </is>
      </c>
      <c r="C140" s="15" t="inlineStr">
        <is>
          <t>منع عقد ثانٍ لنفس العرض</t>
        </is>
      </c>
      <c r="D140" s="14" t="inlineStr">
        <is>
          <t>عرض له عقد قائم غير ملغى</t>
        </is>
      </c>
      <c r="E140" s="14" t="inlineStr">
        <is>
          <t>1. «إنشاء عقد» مرة ثانية عبر API</t>
        </is>
      </c>
      <c r="F140" s="14" t="inlineStr">
        <is>
          <t>409 «contract MMCT-x already exists for this quote»</t>
        </is>
      </c>
      <c r="G140" s="13" t="inlineStr">
        <is>
          <t>P1</t>
        </is>
      </c>
      <c r="H140" s="14" t="inlineStr">
        <is>
          <t>تحقق من المدخلات</t>
        </is>
      </c>
      <c r="I140" s="13" t="inlineStr">
        <is>
          <t>لم يُختبر</t>
        </is>
      </c>
      <c r="J140" s="14" t="inlineStr"/>
      <c r="K140" s="13" t="inlineStr"/>
      <c r="L140" s="14" t="inlineStr"/>
    </row>
    <row r="141">
      <c r="A141" s="13" t="inlineStr">
        <is>
          <t>TC-A-140</t>
        </is>
      </c>
      <c r="B141" s="14" t="inlineStr">
        <is>
          <t>العقود وأوامر التغيير</t>
        </is>
      </c>
      <c r="C141" s="15" t="inlineStr">
        <is>
          <t>جدول دفعات لا يساوي 100%</t>
        </is>
      </c>
      <c r="D141" s="14" t="inlineStr">
        <is>
          <t>عقد مسودة</t>
        </is>
      </c>
      <c r="E141" s="14" t="inlineStr">
        <is>
          <t>1. عدّل النسب إلى 50/40/5 واحفظ
2. نسبة 0 أو 101</t>
        </is>
      </c>
      <c r="F141" s="14" t="inlineStr">
        <is>
          <t>رفض «payment schedule must total 100% (got 95%)»؛ 0 و101 مرفوضة بالتحقق</t>
        </is>
      </c>
      <c r="G141" s="13" t="inlineStr">
        <is>
          <t>P1</t>
        </is>
      </c>
      <c r="H141" s="14" t="inlineStr">
        <is>
          <t>تحقق من المدخلات</t>
        </is>
      </c>
      <c r="I141" s="13" t="inlineStr">
        <is>
          <t>لم يُختبر</t>
        </is>
      </c>
      <c r="J141" s="14" t="inlineStr"/>
      <c r="K141" s="13" t="inlineStr"/>
      <c r="L141" s="14" t="inlineStr"/>
    </row>
    <row r="142">
      <c r="A142" s="13" t="inlineStr">
        <is>
          <t>TC-A-141</t>
        </is>
      </c>
      <c r="B142" s="14" t="inlineStr">
        <is>
          <t>العقود وأوامر التغيير</t>
        </is>
      </c>
      <c r="C142" s="15" t="inlineStr">
        <is>
          <t>لا تعديل لعقد غير مسودة</t>
        </is>
      </c>
      <c r="D142" s="14" t="inlineStr">
        <is>
          <t>عقد موقّع</t>
        </is>
      </c>
      <c r="E142" s="14" t="inlineStr">
        <is>
          <t>1. PUT /api/contracts/{id}
2. غيّر القالب</t>
        </is>
      </c>
      <c r="F142" s="14" t="inlineStr">
        <is>
          <t>409 «only draft contracts can be edited — use a change order»؛ «the template can only be changed on a draft contract»</t>
        </is>
      </c>
      <c r="G142" s="13" t="inlineStr">
        <is>
          <t>P1</t>
        </is>
      </c>
      <c r="H142" s="14" t="inlineStr">
        <is>
          <t>حالات حدّية</t>
        </is>
      </c>
      <c r="I142" s="13" t="inlineStr">
        <is>
          <t>لم يُختبر</t>
        </is>
      </c>
      <c r="J142" s="14" t="inlineStr"/>
      <c r="K142" s="13" t="inlineStr"/>
      <c r="L142" s="14" t="inlineStr"/>
    </row>
    <row r="143">
      <c r="A143" s="13" t="inlineStr">
        <is>
          <t>TC-A-142</t>
        </is>
      </c>
      <c r="B143" s="14" t="inlineStr">
        <is>
          <t>العقود وأوامر التغيير</t>
        </is>
      </c>
      <c r="C143" s="15" t="inlineStr">
        <is>
          <t>التعليم كموقّع يتطلب contract.sign</t>
        </is>
      </c>
      <c r="D143" s="14" t="inlineStr">
        <is>
          <t>مندوب (لا contract.sign)</t>
        </is>
      </c>
      <c r="E143" s="14" t="inlineStr">
        <is>
          <t>1. غيّر حالة العقد إلى signed</t>
        </is>
      </c>
      <c r="F143" s="14" t="inlineStr">
        <is>
          <t>403 «marking a contract signed requires contract.sign»</t>
        </is>
      </c>
      <c r="G143" s="13" t="inlineStr">
        <is>
          <t>P1</t>
        </is>
      </c>
      <c r="H143" s="14" t="inlineStr">
        <is>
          <t>صلاحيات</t>
        </is>
      </c>
      <c r="I143" s="13" t="inlineStr">
        <is>
          <t>لم يُختبر</t>
        </is>
      </c>
      <c r="J143" s="14" t="inlineStr"/>
      <c r="K143" s="13" t="inlineStr"/>
      <c r="L143" s="14" t="inlineStr"/>
    </row>
    <row r="144">
      <c r="A144" s="13" t="inlineStr">
        <is>
          <t>TC-A-143</t>
        </is>
      </c>
      <c r="B144" s="14" t="inlineStr">
        <is>
          <t>العقود وأوامر التغيير</t>
        </is>
      </c>
      <c r="C144" s="15" t="inlineStr">
        <is>
          <t>ختم العقد</t>
        </is>
      </c>
      <c r="D144" s="14" t="inlineStr">
        <is>
          <t>محاسب (contract.stamp) وختم مرفوع في الإعدادات</t>
        </is>
      </c>
      <c r="E144" s="14" t="inlineStr">
        <is>
          <t>1. PDF بالختم لعقد مسودة
2. PDF بالختم لعقد موقّع
3. كرر دون ختم مرفوع
4. كرر بحساب مندوب</t>
        </is>
      </c>
      <c r="F144" s="14" t="inlineStr">
        <is>
          <t>المسودة: «the stamp can only be applied to an approved contract»؛ الموقّع: PDF بالختم وstampApplied وissued_document وaudit stamp؛ دون ختم: «upload the company stamp in Settings first»؛ المندوب: 403</t>
        </is>
      </c>
      <c r="G144" s="13" t="inlineStr">
        <is>
          <t>P1</t>
        </is>
      </c>
      <c r="H144" s="14" t="inlineStr">
        <is>
          <t>صلاحيات</t>
        </is>
      </c>
      <c r="I144" s="13" t="inlineStr">
        <is>
          <t>لم يُختبر</t>
        </is>
      </c>
      <c r="J144" s="14" t="inlineStr"/>
      <c r="K144" s="13" t="inlineStr"/>
      <c r="L144" s="14" t="inlineStr"/>
    </row>
    <row r="145">
      <c r="A145" s="13" t="inlineStr">
        <is>
          <t>TC-A-144</t>
        </is>
      </c>
      <c r="B145" s="14" t="inlineStr">
        <is>
          <t>العقود وأوامر التغيير</t>
        </is>
      </c>
      <c r="C145" s="15" t="inlineStr">
        <is>
          <t>التوقيع الإلكتروني التجريبي /sign/[id]</t>
        </is>
      </c>
      <c r="D145" s="14" t="inlineStr">
        <is>
          <t>عقد مسودة</t>
        </is>
      </c>
      <c r="E145" s="14" t="inlineStr">
        <is>
          <t>1. «إرسال للتوقيع» بالاسم والهوية 1012345678 والجوال
2. افتح رابط التوقيع
3. أدخل آخر 4 أرقام 5678 ووافق</t>
        </is>
      </c>
      <c r="F145" s="14" t="inlineStr">
        <is>
          <t>الحالة sent_for_signature ثم signed؛ يُنشأ مشروع PRJ-xxxx تلقائيًا؛ audit esign_signed مع IP وsha256 المستند؛ إشعار للمالك</t>
        </is>
      </c>
      <c r="G145" s="13" t="inlineStr">
        <is>
          <t>P1</t>
        </is>
      </c>
      <c r="H145" s="14" t="inlineStr">
        <is>
          <t>تكامل</t>
        </is>
      </c>
      <c r="I145" s="13" t="inlineStr">
        <is>
          <t>لم يُختبر</t>
        </is>
      </c>
      <c r="J145" s="14" t="inlineStr"/>
      <c r="K145" s="13" t="inlineStr"/>
      <c r="L145" s="14" t="inlineStr"/>
    </row>
    <row r="146">
      <c r="A146" s="13" t="inlineStr">
        <is>
          <t>TC-A-145</t>
        </is>
      </c>
      <c r="B146" s="14" t="inlineStr">
        <is>
          <t>العقود وأوامر التغيير</t>
        </is>
      </c>
      <c r="C146" s="15" t="inlineStr">
        <is>
          <t>فشل تحقق الهوية في التوقيع</t>
        </is>
      </c>
      <c r="D146" s="14" t="inlineStr">
        <is>
          <t>طلب توقيع بهوية 1012345678</t>
        </is>
      </c>
      <c r="E146" s="14" t="inlineStr">
        <is>
          <t>1. أدخل آخر 4 أرقام 1111</t>
        </is>
      </c>
      <c r="F146" s="14" t="inlineStr">
        <is>
          <t>«identity check failed»؛ العقد يبقى بانتظار التوقيع</t>
        </is>
      </c>
      <c r="G146" s="13" t="inlineStr">
        <is>
          <t>P1</t>
        </is>
      </c>
      <c r="H146" s="14" t="inlineStr">
        <is>
          <t>أمان</t>
        </is>
      </c>
      <c r="I146" s="13" t="inlineStr">
        <is>
          <t>لم يُختبر</t>
        </is>
      </c>
      <c r="J146" s="14" t="inlineStr"/>
      <c r="K146" s="13" t="inlineStr"/>
      <c r="L146" s="14" t="inlineStr"/>
    </row>
    <row r="147">
      <c r="A147" s="13" t="inlineStr">
        <is>
          <t>TC-A-146</t>
        </is>
      </c>
      <c r="B147" s="14" t="inlineStr">
        <is>
          <t>العقود وأوامر التغيير</t>
        </is>
      </c>
      <c r="C147" s="15" t="inlineStr">
        <is>
          <t>التوقيع التجريبي معطل في الإنتاج</t>
        </is>
      </c>
      <c r="D147" s="14" t="inlineStr">
        <is>
          <t>ALLOW_SANDBOX=false</t>
        </is>
      </c>
      <c r="E147" s="14" t="inlineStr">
        <is>
          <t>1. POST /api/public/esign/{id}/complete</t>
        </is>
      </c>
      <c r="F147" s="14" t="inlineStr">
        <is>
          <t>403 «sandbox signing is disabled in production»</t>
        </is>
      </c>
      <c r="G147" s="13" t="inlineStr">
        <is>
          <t>P1</t>
        </is>
      </c>
      <c r="H147" s="14" t="inlineStr">
        <is>
          <t>أمان</t>
        </is>
      </c>
      <c r="I147" s="13" t="inlineStr">
        <is>
          <t>لم يُختبر</t>
        </is>
      </c>
      <c r="J147" s="14" t="inlineStr"/>
      <c r="K147" s="13" t="inlineStr"/>
      <c r="L147" s="14" t="inlineStr"/>
    </row>
    <row r="148">
      <c r="A148" s="13" t="inlineStr">
        <is>
          <t>TC-A-147</t>
        </is>
      </c>
      <c r="B148" s="14" t="inlineStr">
        <is>
          <t>العقود وأوامر التغيير</t>
        </is>
      </c>
      <c r="C148" s="15" t="inlineStr">
        <is>
          <t>أمر تغيير بإضافة بند</t>
        </is>
      </c>
      <c r="D148" s="14" t="inlineStr">
        <is>
          <t>عقد موقّع، مستخدم آخر بـ quote.approve</t>
        </is>
      </c>
      <c r="E148" s="14" t="inlineStr">
        <is>
          <t>1. أنشئ أمر تغيير ببند كمية 2 × 300
2. قدّمه للموافقة
3. وافق بالحساب الآخر</t>
        </is>
      </c>
      <c r="F148" s="14" t="inlineStr">
        <is>
          <t>رقم MMC-CO-0001، الحالة approved؛ إجمالي العقد الأصلي لا يتغير وتعرض الفوترة القيمة شاملة الأمر</t>
        </is>
      </c>
      <c r="G148" s="13" t="inlineStr">
        <is>
          <t>P1</t>
        </is>
      </c>
      <c r="H148" s="14" t="inlineStr">
        <is>
          <t>وظيفي</t>
        </is>
      </c>
      <c r="I148" s="13" t="inlineStr">
        <is>
          <t>لم يُختبر</t>
        </is>
      </c>
      <c r="J148" s="14" t="inlineStr"/>
      <c r="K148" s="13" t="inlineStr"/>
      <c r="L148" s="14" t="inlineStr"/>
    </row>
    <row r="149">
      <c r="A149" s="13" t="inlineStr">
        <is>
          <t>TC-A-148</t>
        </is>
      </c>
      <c r="B149" s="14" t="inlineStr">
        <is>
          <t>العقود وأوامر التغيير</t>
        </is>
      </c>
      <c r="C149" s="15" t="inlineStr">
        <is>
          <t>لا يعتمد المنشئ أمر التغيير بنفسه</t>
        </is>
      </c>
      <c r="D149" s="14" t="inlineStr">
        <is>
          <t>مدير أنشأ أمر تغيير</t>
        </is>
      </c>
      <c r="E149" s="14" t="inlineStr">
        <is>
          <t>1. اعتمده بنفسه</t>
        </is>
      </c>
      <c r="F149" s="14" t="inlineStr">
        <is>
          <t>403 «you cannot approve or reject your own change order»</t>
        </is>
      </c>
      <c r="G149" s="13" t="inlineStr">
        <is>
          <t>P1</t>
        </is>
      </c>
      <c r="H149" s="14" t="inlineStr">
        <is>
          <t>صلاحيات</t>
        </is>
      </c>
      <c r="I149" s="13" t="inlineStr">
        <is>
          <t>لم يُختبر</t>
        </is>
      </c>
      <c r="J149" s="14" t="inlineStr"/>
      <c r="K149" s="13" t="inlineStr"/>
      <c r="L149" s="14" t="inlineStr"/>
    </row>
    <row r="150">
      <c r="A150" s="13" t="inlineStr">
        <is>
          <t>TC-A-149</t>
        </is>
      </c>
      <c r="B150" s="14" t="inlineStr">
        <is>
          <t>العقود وأوامر التغيير</t>
        </is>
      </c>
      <c r="C150" s="15" t="inlineStr">
        <is>
          <t>XSS في بنود العقد</t>
        </is>
      </c>
      <c r="D150" s="14" t="inlineStr">
        <is>
          <t>—</t>
        </is>
      </c>
      <c r="E150" s="14" t="inlineStr">
        <is>
          <t>1. اكتب في نص بند &lt;script&gt;alert(1)&lt;/script&gt; واطبع PDF</t>
        </is>
      </c>
      <c r="F150" s="14" t="inlineStr">
        <is>
          <t>يظهر النص حرفيًا (esc) دون تنفيذ</t>
        </is>
      </c>
      <c r="G150" s="13" t="inlineStr">
        <is>
          <t>P1</t>
        </is>
      </c>
      <c r="H150" s="14" t="inlineStr">
        <is>
          <t>أمان</t>
        </is>
      </c>
      <c r="I150" s="13" t="inlineStr">
        <is>
          <t>لم يُختبر</t>
        </is>
      </c>
      <c r="J150" s="14" t="inlineStr"/>
      <c r="K150" s="13" t="inlineStr"/>
      <c r="L150" s="14" t="inlineStr"/>
    </row>
    <row r="151">
      <c r="A151" s="13" t="inlineStr">
        <is>
          <t>TC-A-150</t>
        </is>
      </c>
      <c r="B151" s="14" t="inlineStr">
        <is>
          <t>العقود وأوامر التغيير</t>
        </is>
      </c>
      <c r="C151" s="15" t="inlineStr">
        <is>
          <t>أنواع قوالب العقد</t>
        </is>
      </c>
      <c r="D151" s="14" t="inlineStr">
        <is>
          <t>عروض مقبولة</t>
        </is>
      </c>
      <c r="E151" s="14" t="inlineStr">
        <is>
          <t>1. أنشئ عقد supply_only وعقد maintenance</t>
        </is>
      </c>
      <c r="F151" s="14" t="inlineStr">
        <is>
          <t>supply_only: جدول 50/50 ومدة 45–60؛ maintenance: أقساط ربعية 25% ولا مدة توريد؛ مكتبة بنود مختلفة لكل نوع</t>
        </is>
      </c>
      <c r="G151" s="13" t="inlineStr">
        <is>
          <t>P2</t>
        </is>
      </c>
      <c r="H151" s="14" t="inlineStr">
        <is>
          <t>وظيفي</t>
        </is>
      </c>
      <c r="I151" s="13" t="inlineStr">
        <is>
          <t>لم يُختبر</t>
        </is>
      </c>
      <c r="J151" s="14" t="inlineStr"/>
      <c r="K151" s="13" t="inlineStr"/>
      <c r="L151" s="14" t="inlineStr"/>
    </row>
    <row r="152">
      <c r="A152" s="13" t="inlineStr">
        <is>
          <t>TC-A-151</t>
        </is>
      </c>
      <c r="B152" s="14" t="inlineStr">
        <is>
          <t>العقود وأوامر التغيير</t>
        </is>
      </c>
      <c r="C152" s="15" t="inlineStr">
        <is>
          <t>منع عقد من عرض مسودة</t>
        </is>
      </c>
      <c r="D152" s="14" t="inlineStr">
        <is>
          <t>عرض مسودة</t>
        </is>
      </c>
      <c r="E152" s="14" t="inlineStr">
        <is>
          <t>1. POST /api/contracts/from-quote/{id}</t>
        </is>
      </c>
      <c r="F152" s="14" t="inlineStr">
        <is>
          <t>400 «the quote must be approved or accepted first»</t>
        </is>
      </c>
      <c r="G152" s="13" t="inlineStr">
        <is>
          <t>P2</t>
        </is>
      </c>
      <c r="H152" s="14" t="inlineStr">
        <is>
          <t>تحقق من المدخلات</t>
        </is>
      </c>
      <c r="I152" s="13" t="inlineStr">
        <is>
          <t>لم يُختبر</t>
        </is>
      </c>
      <c r="J152" s="14" t="inlineStr"/>
      <c r="K152" s="13" t="inlineStr"/>
      <c r="L152" s="14" t="inlineStr"/>
    </row>
    <row r="153">
      <c r="A153" s="13" t="inlineStr">
        <is>
          <t>TC-A-152</t>
        </is>
      </c>
      <c r="B153" s="14" t="inlineStr">
        <is>
          <t>العقود وأوامر التغيير</t>
        </is>
      </c>
      <c r="C153" s="15" t="inlineStr">
        <is>
          <t>إنشاء عقد من عرض مُعتمد يعلّمه مقبولًا</t>
        </is>
      </c>
      <c r="D153" s="14" t="inlineStr">
        <is>
          <t>عرض معتمد</t>
        </is>
      </c>
      <c r="E153" s="14" t="inlineStr">
        <is>
          <t>1. أنشئ العقد</t>
        </is>
      </c>
      <c r="F153" s="14" t="inlineStr">
        <is>
          <t>تتحول حالة العرض إلى accepted</t>
        </is>
      </c>
      <c r="G153" s="13" t="inlineStr">
        <is>
          <t>P2</t>
        </is>
      </c>
      <c r="H153" s="14" t="inlineStr">
        <is>
          <t>تكامل</t>
        </is>
      </c>
      <c r="I153" s="13" t="inlineStr">
        <is>
          <t>لم يُختبر</t>
        </is>
      </c>
      <c r="J153" s="14" t="inlineStr"/>
      <c r="K153" s="13" t="inlineStr"/>
      <c r="L153" s="14" t="inlineStr"/>
    </row>
    <row r="154">
      <c r="A154" s="13" t="inlineStr">
        <is>
          <t>TC-A-153</t>
        </is>
      </c>
      <c r="B154" s="14" t="inlineStr">
        <is>
          <t>العقود وأوامر التغيير</t>
        </is>
      </c>
      <c r="C154" s="15" t="inlineStr">
        <is>
          <t>توزيع مبالغ الدفعات بالهللة</t>
        </is>
      </c>
      <c r="D154" s="14" t="inlineStr">
        <is>
          <t>عقد إجماليه 1,000.01</t>
        </is>
      </c>
      <c r="E154" s="14" t="inlineStr">
        <is>
          <t>1. احفظ بالجدول 50/40/10</t>
        </is>
      </c>
      <c r="F154" s="14" t="inlineStr">
        <is>
          <t>مجموع المبالغ = الإجمالي بالضبط (أكبر باقٍ)</t>
        </is>
      </c>
      <c r="G154" s="13" t="inlineStr">
        <is>
          <t>P2</t>
        </is>
      </c>
      <c r="H154" s="14" t="inlineStr">
        <is>
          <t>حالات حدّية</t>
        </is>
      </c>
      <c r="I154" s="13" t="inlineStr">
        <is>
          <t>لم يُختبر</t>
        </is>
      </c>
      <c r="J154" s="14" t="inlineStr"/>
      <c r="K154" s="13" t="inlineStr"/>
      <c r="L154" s="14" t="inlineStr"/>
    </row>
    <row r="155">
      <c r="A155" s="13" t="inlineStr">
        <is>
          <t>TC-A-154</t>
        </is>
      </c>
      <c r="B155" s="14" t="inlineStr">
        <is>
          <t>العقود وأوامر التغيير</t>
        </is>
      </c>
      <c r="C155" s="15" t="inlineStr">
        <is>
          <t>تعارض إصدار العقد</t>
        </is>
      </c>
      <c r="D155" s="14" t="inlineStr">
        <is>
          <t>عقد مسودة في نافذتين</t>
        </is>
      </c>
      <c r="E155" s="14" t="inlineStr">
        <is>
          <t>1. احفظ من الاثنتين</t>
        </is>
      </c>
      <c r="F155" s="14" t="inlineStr">
        <is>
          <t>الثانية 409 «the contract was changed by someone else — reload»</t>
        </is>
      </c>
      <c r="G155" s="13" t="inlineStr">
        <is>
          <t>P2</t>
        </is>
      </c>
      <c r="H155" s="14" t="inlineStr">
        <is>
          <t>حالات حدّية</t>
        </is>
      </c>
      <c r="I155" s="13" t="inlineStr">
        <is>
          <t>لم يُختبر</t>
        </is>
      </c>
      <c r="J155" s="14" t="inlineStr"/>
      <c r="K155" s="13" t="inlineStr"/>
      <c r="L155" s="14" t="inlineStr"/>
    </row>
    <row r="156">
      <c r="A156" s="13" t="inlineStr">
        <is>
          <t>TC-A-155</t>
        </is>
      </c>
      <c r="B156" s="14" t="inlineStr">
        <is>
          <t>العقود وأوامر التغيير</t>
        </is>
      </c>
      <c r="C156" s="15" t="inlineStr">
        <is>
          <t>رفض التوقيع يعيد العقد مسودة</t>
        </is>
      </c>
      <c r="D156" s="14" t="inlineStr">
        <is>
          <t>طلب توقيع</t>
        </is>
      </c>
      <c r="E156" s="14" t="inlineStr">
        <is>
          <t>1. اختر رفض</t>
        </is>
      </c>
      <c r="F156" s="14" t="inlineStr">
        <is>
          <t>الطلب declined والعقد draft مع إشعار «رُفض توقيع العقد»</t>
        </is>
      </c>
      <c r="G156" s="13" t="inlineStr">
        <is>
          <t>P2</t>
        </is>
      </c>
      <c r="H156" s="14" t="inlineStr">
        <is>
          <t>وظيفي</t>
        </is>
      </c>
      <c r="I156" s="13" t="inlineStr">
        <is>
          <t>لم يُختبر</t>
        </is>
      </c>
      <c r="J156" s="14" t="inlineStr"/>
      <c r="K156" s="13" t="inlineStr"/>
      <c r="L156" s="14" t="inlineStr"/>
    </row>
    <row r="157">
      <c r="A157" s="13" t="inlineStr">
        <is>
          <t>TC-A-156</t>
        </is>
      </c>
      <c r="B157" s="14" t="inlineStr">
        <is>
          <t>العقود وأوامر التغيير</t>
        </is>
      </c>
      <c r="C157" s="15" t="inlineStr">
        <is>
          <t>هوية الموقّع غير صالحة</t>
        </is>
      </c>
      <c r="D157" s="14" t="inlineStr">
        <is>
          <t>—</t>
        </is>
      </c>
      <c r="E157" s="14" t="inlineStr">
        <is>
          <t>1. أرسل للتوقيع بهوية 3012345678 أو 9 أرقام</t>
        </is>
      </c>
      <c r="F157" s="14" t="inlineStr">
        <is>
          <t>«national ID / iqama: 10 digits»</t>
        </is>
      </c>
      <c r="G157" s="13" t="inlineStr">
        <is>
          <t>P2</t>
        </is>
      </c>
      <c r="H157" s="14" t="inlineStr">
        <is>
          <t>تحقق من المدخلات</t>
        </is>
      </c>
      <c r="I157" s="13" t="inlineStr">
        <is>
          <t>لم يُختبر</t>
        </is>
      </c>
      <c r="J157" s="14" t="inlineStr"/>
      <c r="K157" s="13" t="inlineStr"/>
      <c r="L157" s="14" t="inlineStr"/>
    </row>
    <row r="158">
      <c r="A158" s="13" t="inlineStr">
        <is>
          <t>TC-A-157</t>
        </is>
      </c>
      <c r="B158" s="14" t="inlineStr">
        <is>
          <t>العقود وأوامر التغيير</t>
        </is>
      </c>
      <c r="C158" s="15" t="inlineStr">
        <is>
          <t>صفحة التوقيع لا تكشف الهوية كاملة</t>
        </is>
      </c>
      <c r="D158" s="14" t="inlineStr">
        <is>
          <t>طلب توقيع</t>
        </is>
      </c>
      <c r="E158" s="14" t="inlineStr">
        <is>
          <t>1. افتح /sign/{id}</t>
        </is>
      </c>
      <c r="F158" s="14" t="inlineStr">
        <is>
          <t>تُعرض الهوية «••••••5678» فقط؛ معرّف غير UUID → 404</t>
        </is>
      </c>
      <c r="G158" s="13" t="inlineStr">
        <is>
          <t>P2</t>
        </is>
      </c>
      <c r="H158" s="14" t="inlineStr">
        <is>
          <t>أمان</t>
        </is>
      </c>
      <c r="I158" s="13" t="inlineStr">
        <is>
          <t>لم يُختبر</t>
        </is>
      </c>
      <c r="J158" s="14" t="inlineStr"/>
      <c r="K158" s="13" t="inlineStr"/>
      <c r="L158" s="14" t="inlineStr"/>
    </row>
    <row r="159">
      <c r="A159" s="13" t="inlineStr">
        <is>
          <t>TC-A-158</t>
        </is>
      </c>
      <c r="B159" s="14" t="inlineStr">
        <is>
          <t>العقود وأوامر التغيير</t>
        </is>
      </c>
      <c r="C159" s="15" t="inlineStr">
        <is>
          <t>أمر تغيير على عقد مسودة أو بقيمة صفر</t>
        </is>
      </c>
      <c r="D159" s="14" t="inlineStr">
        <is>
          <t>—</t>
        </is>
      </c>
      <c r="E159" s="14" t="inlineStr">
        <is>
          <t>1. أمر تغيير على عقد مسودة
2. أمر بقيمة صافية 0 ثم تقديم
3. بند بكمية 0</t>
        </is>
      </c>
      <c r="F159" s="14" t="inlineStr">
        <is>
          <t>«change orders apply to a signed or active contract — edit a draft contract directly»؛ «the change order has no value...»؛ «quantity must be a non-zero number»</t>
        </is>
      </c>
      <c r="G159" s="13" t="inlineStr">
        <is>
          <t>P2</t>
        </is>
      </c>
      <c r="H159" s="14" t="inlineStr">
        <is>
          <t>تحقق من المدخلات</t>
        </is>
      </c>
      <c r="I159" s="13" t="inlineStr">
        <is>
          <t>لم يُختبر</t>
        </is>
      </c>
      <c r="J159" s="14" t="inlineStr"/>
      <c r="K159" s="13" t="inlineStr"/>
      <c r="L159" s="14" t="inlineStr"/>
    </row>
    <row r="160">
      <c r="A160" s="13" t="inlineStr">
        <is>
          <t>TC-A-159</t>
        </is>
      </c>
      <c r="B160" s="14" t="inlineStr">
        <is>
          <t>العقود وأوامر التغيير</t>
        </is>
      </c>
      <c r="C160" s="15" t="inlineStr">
        <is>
          <t>أمر تغيير بالتخفيض يصدر إشعارًا دائنًا</t>
        </is>
      </c>
      <c r="D160" s="14" t="inlineStr">
        <is>
          <t>عقد مفوتر</t>
        </is>
      </c>
      <c r="E160" s="14" t="inlineStr">
        <is>
          <t>1. أمر بكمية -1 ← اعتماد ← فوترة</t>
        </is>
      </c>
      <c r="F160" s="14" t="inlineStr">
        <is>
          <t>يصدر إشعار دائن 381 بدل تعديل الفاتورة</t>
        </is>
      </c>
      <c r="G160" s="13" t="inlineStr">
        <is>
          <t>P2</t>
        </is>
      </c>
      <c r="H160" s="14" t="inlineStr">
        <is>
          <t>تكامل</t>
        </is>
      </c>
      <c r="I160" s="13" t="inlineStr">
        <is>
          <t>لم يُختبر</t>
        </is>
      </c>
      <c r="J160" s="14" t="inlineStr"/>
      <c r="K160" s="13" t="inlineStr"/>
      <c r="L160" s="14" t="inlineStr"/>
    </row>
    <row r="161">
      <c r="A161" s="13" t="inlineStr">
        <is>
          <t>TC-A-160</t>
        </is>
      </c>
      <c r="B161" s="14" t="inlineStr">
        <is>
          <t>العقود وأوامر التغيير</t>
        </is>
      </c>
      <c r="C161" s="15" t="inlineStr">
        <is>
          <t>تغيير عميل عقد مفوتر</t>
        </is>
      </c>
      <c r="D161" s="14" t="inlineStr">
        <is>
          <t>عقد له فاتورة</t>
        </is>
      </c>
      <c r="E161" s="14" t="inlineStr">
        <is>
          <t>1. غيّر العميل</t>
        </is>
      </c>
      <c r="F161" s="14" t="inlineStr">
        <is>
          <t>409 «the contract was already billed — its customer can no longer be changed»</t>
        </is>
      </c>
      <c r="G161" s="13" t="inlineStr">
        <is>
          <t>P2</t>
        </is>
      </c>
      <c r="H161" s="14" t="inlineStr">
        <is>
          <t>حالات حدّية</t>
        </is>
      </c>
      <c r="I161" s="13" t="inlineStr">
        <is>
          <t>لم يُختبر</t>
        </is>
      </c>
      <c r="J161" s="14" t="inlineStr"/>
      <c r="K161" s="13" t="inlineStr"/>
      <c r="L161" s="14" t="inlineStr"/>
    </row>
    <row r="162">
      <c r="A162" s="13" t="inlineStr">
        <is>
          <t>TC-A-161</t>
        </is>
      </c>
      <c r="B162" s="14" t="inlineStr">
        <is>
          <t>العقود وأوامر التغيير</t>
        </is>
      </c>
      <c r="C162" s="15" t="inlineStr">
        <is>
          <t>تعديل بنود العقد من المكتبة</t>
        </is>
      </c>
      <c r="D162" s="14" t="inlineStr">
        <is>
          <t>عقد مسودة</t>
        </is>
      </c>
      <c r="E162" s="14" t="inlineStr">
        <is>
          <t>1. عدّل نص بند من المكتبة
2. أضف بندًا يدويًا</t>
        </is>
      </c>
      <c r="F162" s="14" t="inlineStr">
        <is>
          <t>البند المعدل modified=true؛ اليدوي modified=true؛ غير المعدل false</t>
        </is>
      </c>
      <c r="G162" s="13" t="inlineStr">
        <is>
          <t>P3</t>
        </is>
      </c>
      <c r="H162" s="14" t="inlineStr">
        <is>
          <t>وظيفي</t>
        </is>
      </c>
      <c r="I162" s="13" t="inlineStr">
        <is>
          <t>لم يُختبر</t>
        </is>
      </c>
      <c r="J162" s="14" t="inlineStr"/>
      <c r="K162" s="13" t="inlineStr"/>
      <c r="L162" s="14" t="inlineStr"/>
    </row>
    <row r="163">
      <c r="A163" s="13" t="inlineStr">
        <is>
          <t>TC-A-162</t>
        </is>
      </c>
      <c r="B163" s="14" t="inlineStr">
        <is>
          <t>العقود وأوامر التغيير</t>
        </is>
      </c>
      <c r="C163" s="15" t="inlineStr">
        <is>
          <t>إعادة إكمال توقيع مكتمل</t>
        </is>
      </c>
      <c r="D163" s="14" t="inlineStr">
        <is>
          <t>طلب signed</t>
        </is>
      </c>
      <c r="E163" s="14" t="inlineStr">
        <is>
          <t>1. استدعِ complete مرة ثانية</t>
        </is>
      </c>
      <c r="F163" s="14" t="inlineStr">
        <is>
          <t>يعيد {status:"signed"} دون إنشاء مشروع مكرر</t>
        </is>
      </c>
      <c r="G163" s="13" t="inlineStr">
        <is>
          <t>P3</t>
        </is>
      </c>
      <c r="H163" s="14" t="inlineStr">
        <is>
          <t>حالات حدّية</t>
        </is>
      </c>
      <c r="I163" s="13" t="inlineStr">
        <is>
          <t>لم يُختبر</t>
        </is>
      </c>
      <c r="J163" s="14" t="inlineStr"/>
      <c r="K163" s="13" t="inlineStr"/>
      <c r="L163" s="14" t="inlineStr"/>
    </row>
    <row r="164">
      <c r="A164" s="13" t="inlineStr">
        <is>
          <t>TC-A-163</t>
        </is>
      </c>
      <c r="B164" s="14" t="inlineStr">
        <is>
          <t>العقود وأوامر التغيير</t>
        </is>
      </c>
      <c r="C164" s="15" t="inlineStr">
        <is>
          <t>إلغاء أمر تغيير له طلب دفع</t>
        </is>
      </c>
      <c r="D164" s="14" t="inlineStr">
        <is>
          <t>أمر تغيير مفوتر بطلب دفع مفتوح</t>
        </is>
      </c>
      <c r="E164" s="14" t="inlineStr">
        <is>
          <t>1. إلغاء مع سبب</t>
        </is>
      </c>
      <c r="F164" s="14" t="inlineStr">
        <is>
          <t>«payment request MMC-PR-xxxxx exists for this change order»</t>
        </is>
      </c>
      <c r="G164" s="13" t="inlineStr">
        <is>
          <t>P3</t>
        </is>
      </c>
      <c r="H164" s="14" t="inlineStr">
        <is>
          <t>حالات حدّية</t>
        </is>
      </c>
      <c r="I164" s="13" t="inlineStr">
        <is>
          <t>لم يُختبر</t>
        </is>
      </c>
      <c r="J164" s="14" t="inlineStr"/>
      <c r="K164" s="13" t="inlineStr"/>
      <c r="L164" s="14" t="inlineStr"/>
    </row>
    <row r="165">
      <c r="A165" s="13" t="inlineStr">
        <is>
          <t>TC-A-164</t>
        </is>
      </c>
      <c r="B165" s="14" t="inlineStr">
        <is>
          <t>نموذج العملاء المحتملين /lead</t>
        </is>
      </c>
      <c r="C165" s="15" t="inlineStr">
        <is>
          <t>إرسال طلب عرض من الموقع</t>
        </is>
      </c>
      <c r="D165" s="14" t="inlineStr">
        <is>
          <t>دون تسجيل دخول</t>
        </is>
      </c>
      <c r="E165" s="14" t="inlineStr">
        <is>
          <t>1. افتح /lead واملأ الاسم والجوال 0551234567 والمدينة والاهتمام intercom
2. أرسل</t>
        </is>
      </c>
      <c r="F165" s="14" t="inlineStr">
        <is>
          <t>201 مع رقم مرجعي L-xxxxx؛ عميل محتمل جديد بمصدر website يظهر في «العملاء المحتملون»</t>
        </is>
      </c>
      <c r="G165" s="13" t="inlineStr">
        <is>
          <t>P1</t>
        </is>
      </c>
      <c r="H165" s="14" t="inlineStr">
        <is>
          <t>وظيفي</t>
        </is>
      </c>
      <c r="I165" s="13" t="inlineStr">
        <is>
          <t>لم يُختبر</t>
        </is>
      </c>
      <c r="J165" s="14" t="inlineStr"/>
      <c r="K165" s="13" t="inlineStr"/>
      <c r="L165" s="14" t="inlineStr"/>
    </row>
    <row r="166">
      <c r="A166" s="13" t="inlineStr">
        <is>
          <t>TC-A-165</t>
        </is>
      </c>
      <c r="B166" s="14" t="inlineStr">
        <is>
          <t>نموذج العملاء المحتملين /lead</t>
        </is>
      </c>
      <c r="C166" s="15" t="inlineStr">
        <is>
          <t>جوال غير سعودي في النموذج</t>
        </is>
      </c>
      <c r="D166" s="14" t="inlineStr">
        <is>
          <t>—</t>
        </is>
      </c>
      <c r="E166" s="14" t="inlineStr">
        <is>
          <t>1. أدخل 0441234567</t>
        </is>
      </c>
      <c r="F166" s="14" t="inlineStr">
        <is>
          <t>«please enter a Saudi mobile number (05XXXXXXXX)»</t>
        </is>
      </c>
      <c r="G166" s="13" t="inlineStr">
        <is>
          <t>P1</t>
        </is>
      </c>
      <c r="H166" s="14" t="inlineStr">
        <is>
          <t>تحقق من المدخلات</t>
        </is>
      </c>
      <c r="I166" s="13" t="inlineStr">
        <is>
          <t>لم يُختبر</t>
        </is>
      </c>
      <c r="J166" s="14" t="inlineStr"/>
      <c r="K166" s="13" t="inlineStr"/>
      <c r="L166" s="14" t="inlineStr"/>
    </row>
    <row r="167">
      <c r="A167" s="13" t="inlineStr">
        <is>
          <t>TC-A-166</t>
        </is>
      </c>
      <c r="B167" s="14" t="inlineStr">
        <is>
          <t>نموذج العملاء المحتملين /lead</t>
        </is>
      </c>
      <c r="C167" s="15" t="inlineStr">
        <is>
          <t>منع التكرار بنفس الجوال</t>
        </is>
      </c>
      <c r="D167" s="14" t="inlineStr">
        <is>
          <t>عميل محتمل مفتوح بنفس الجوال</t>
        </is>
      </c>
      <c r="E167" s="14" t="inlineStr">
        <is>
          <t>1. أرسل مرة ثانية برسالة جديدة</t>
        </is>
      </c>
      <c r="F167" s="14" t="inlineStr">
        <is>
          <t>لا سجل جديد؛ تُضاف الرسالة بتاريخها إلى السجل الموجود</t>
        </is>
      </c>
      <c r="G167" s="13" t="inlineStr">
        <is>
          <t>P1</t>
        </is>
      </c>
      <c r="H167" s="14" t="inlineStr">
        <is>
          <t>حالات حدّية</t>
        </is>
      </c>
      <c r="I167" s="13" t="inlineStr">
        <is>
          <t>لم يُختبر</t>
        </is>
      </c>
      <c r="J167" s="14" t="inlineStr"/>
      <c r="K167" s="13" t="inlineStr"/>
      <c r="L167" s="14" t="inlineStr"/>
    </row>
    <row r="168">
      <c r="A168" s="13" t="inlineStr">
        <is>
          <t>TC-A-167</t>
        </is>
      </c>
      <c r="B168" s="14" t="inlineStr">
        <is>
          <t>نموذج العملاء المحتملين /lead</t>
        </is>
      </c>
      <c r="C168" s="15" t="inlineStr">
        <is>
          <t>XSS في رسالة النموذج</t>
        </is>
      </c>
      <c r="D168" s="14" t="inlineStr">
        <is>
          <t>—</t>
        </is>
      </c>
      <c r="E168" s="14" t="inlineStr">
        <is>
          <t>1. أرسل الرسالة &lt;img src=x onerror=alert(1)&gt;
2. افتح العميل المحتمل كموظف</t>
        </is>
      </c>
      <c r="F168" s="14" t="inlineStr">
        <is>
          <t>النص يظهر حرفيًا دون تنفيذ</t>
        </is>
      </c>
      <c r="G168" s="13" t="inlineStr">
        <is>
          <t>P1</t>
        </is>
      </c>
      <c r="H168" s="14" t="inlineStr">
        <is>
          <t>أمان</t>
        </is>
      </c>
      <c r="I168" s="13" t="inlineStr">
        <is>
          <t>لم يُختبر</t>
        </is>
      </c>
      <c r="J168" s="14" t="inlineStr"/>
      <c r="K168" s="13" t="inlineStr"/>
      <c r="L168" s="14" t="inlineStr"/>
    </row>
    <row r="169">
      <c r="A169" s="13" t="inlineStr">
        <is>
          <t>TC-A-168</t>
        </is>
      </c>
      <c r="B169" s="14" t="inlineStr">
        <is>
          <t>نموذج العملاء المحتملين /lead</t>
        </is>
      </c>
      <c r="C169" s="15" t="inlineStr">
        <is>
          <t>حد الإرسال 5 في الساعة لكل IP</t>
        </is>
      </c>
      <c r="D169" s="14" t="inlineStr">
        <is>
          <t>—</t>
        </is>
      </c>
      <c r="E169" s="14" t="inlineStr">
        <is>
          <t>1. أرسل 6 طلبات من نفس الجهاز خلال ساعة</t>
        </is>
      </c>
      <c r="F169" s="14" t="inlineStr">
        <is>
          <t>السادس 403 «too many submissions»</t>
        </is>
      </c>
      <c r="G169" s="13" t="inlineStr">
        <is>
          <t>P2</t>
        </is>
      </c>
      <c r="H169" s="14" t="inlineStr">
        <is>
          <t>أمان</t>
        </is>
      </c>
      <c r="I169" s="13" t="inlineStr">
        <is>
          <t>لم يُختبر</t>
        </is>
      </c>
      <c r="J169" s="14" t="inlineStr"/>
      <c r="K169" s="13" t="inlineStr"/>
      <c r="L169" s="14" t="inlineStr"/>
    </row>
    <row r="170">
      <c r="A170" s="13" t="inlineStr">
        <is>
          <t>TC-A-169</t>
        </is>
      </c>
      <c r="B170" s="14" t="inlineStr">
        <is>
          <t>نموذج العملاء المحتملين /lead</t>
        </is>
      </c>
      <c r="C170" s="15" t="inlineStr">
        <is>
          <t>حقل المصيدة (honeypot) يمنع الروبوتات</t>
        </is>
      </c>
      <c r="D170" s="14" t="inlineStr">
        <is>
          <t>—</t>
        </is>
      </c>
      <c r="E170" s="14" t="inlineStr">
        <is>
          <t>1. املأ الحقل المخفي website عبر أدوات المطور وأرسل</t>
        </is>
      </c>
      <c r="F170" s="14" t="inlineStr">
        <is>
          <t>رفض التحقق 400 (website يجب أن يكون فارغًا max(0)) ولا يُنشأ عميل محتمل</t>
        </is>
      </c>
      <c r="G170" s="13" t="inlineStr">
        <is>
          <t>P2</t>
        </is>
      </c>
      <c r="H170" s="14" t="inlineStr">
        <is>
          <t>أمان</t>
        </is>
      </c>
      <c r="I170" s="13" t="inlineStr">
        <is>
          <t>لم يُختبر</t>
        </is>
      </c>
      <c r="J170" s="14" t="inlineStr"/>
      <c r="K170" s="13" t="inlineStr"/>
      <c r="L170" s="14" t="inlineStr"/>
    </row>
    <row r="171">
      <c r="A171" s="13" t="inlineStr">
        <is>
          <t>TC-A-170</t>
        </is>
      </c>
      <c r="B171" s="14" t="inlineStr">
        <is>
          <t>نموذج العملاء المحتملين /lead</t>
        </is>
      </c>
      <c r="C171" s="15" t="inlineStr">
        <is>
          <t>النموذج على الجوال وبالعربية</t>
        </is>
      </c>
      <c r="D171" s="14" t="inlineStr">
        <is>
          <t>—</t>
        </is>
      </c>
      <c r="E171" s="14" t="inlineStr">
        <is>
          <t>1. افتح /lead على 375px</t>
        </is>
      </c>
      <c r="F171" s="14" t="inlineStr">
        <is>
          <t>RTL واضح، لوحة أرقام للجوال، لا تمرير أفقي</t>
        </is>
      </c>
      <c r="G171" s="13" t="inlineStr">
        <is>
          <t>P2</t>
        </is>
      </c>
      <c r="H171" s="14" t="inlineStr">
        <is>
          <t>واجهة وعرض</t>
        </is>
      </c>
      <c r="I171" s="13" t="inlineStr">
        <is>
          <t>لم يُختبر</t>
        </is>
      </c>
      <c r="J171" s="14" t="inlineStr"/>
      <c r="K171" s="13" t="inlineStr"/>
      <c r="L171" s="14" t="inlineStr"/>
    </row>
    <row r="172">
      <c r="A172" s="13" t="inlineStr">
        <is>
          <t>TC-A-171</t>
        </is>
      </c>
      <c r="B172" s="14" t="inlineStr">
        <is>
          <t>نموذج العملاء المحتملين /lead</t>
        </is>
      </c>
      <c r="C172" s="15" t="inlineStr">
        <is>
          <t>حدود حقول النموذج</t>
        </is>
      </c>
      <c r="D172" s="14" t="inlineStr">
        <is>
          <t>—</t>
        </is>
      </c>
      <c r="E172" s="14" t="inlineStr">
        <is>
          <t>1. اسم حرف واحد
2. رسالة 2001 حرف
3. اهتمام «tv»</t>
        </is>
      </c>
      <c r="F172" s="14" t="inlineStr">
        <is>
          <t>رفض: الاسم 2–120، الرسالة ≤ 2000، الاهتمام من القائمة intercom/smart_home/locks/cctv/iot/networking/access_control/other</t>
        </is>
      </c>
      <c r="G172" s="13" t="inlineStr">
        <is>
          <t>P3</t>
        </is>
      </c>
      <c r="H172" s="14" t="inlineStr">
        <is>
          <t>تحقق من المدخلات</t>
        </is>
      </c>
      <c r="I172" s="13" t="inlineStr">
        <is>
          <t>لم يُختبر</t>
        </is>
      </c>
      <c r="J172" s="14" t="inlineStr"/>
      <c r="K172" s="13" t="inlineStr"/>
      <c r="L172" s="14" t="inlineStr"/>
    </row>
    <row r="173">
      <c r="A173" s="13" t="inlineStr">
        <is>
          <t>TC-A-172</t>
        </is>
      </c>
      <c r="B173" s="14" t="inlineStr">
        <is>
          <t>سجل التدقيق والتكامل</t>
        </is>
      </c>
      <c r="C173" s="15" t="inlineStr">
        <is>
          <t>سجل التدقيق لدورة البيع كاملة</t>
        </is>
      </c>
      <c r="D173" s="14" t="inlineStr">
        <is>
          <t>مالك</t>
        </is>
      </c>
      <c r="E173" s="14" t="inlineStr">
        <is>
          <t>1. أنشئ عميلًا ← عرضًا ← اعتماد ← إرسال ← قبول ← عقد ← توقيع
2. افتح الإعدادات ← سجل التدقيق</t>
        </is>
      </c>
      <c r="F173" s="14" t="inlineStr">
        <is>
          <t>سجلات create/submit/approve/send/online_accepted/create contract/esign_signed بالمستخدم والوقت؛ GET /api/audit/verify يؤكد سلامة سلسلة الهاش</t>
        </is>
      </c>
      <c r="G173" s="13" t="inlineStr">
        <is>
          <t>P1</t>
        </is>
      </c>
      <c r="H173" s="14" t="inlineStr">
        <is>
          <t>تكامل</t>
        </is>
      </c>
      <c r="I173" s="13" t="inlineStr">
        <is>
          <t>لم يُختبر</t>
        </is>
      </c>
      <c r="J173" s="14" t="inlineStr"/>
      <c r="K173" s="13" t="inlineStr"/>
      <c r="L173" s="14" t="inlineStr"/>
    </row>
    <row r="174">
      <c r="A174" s="13" t="inlineStr">
        <is>
          <t>TC-A-173</t>
        </is>
      </c>
      <c r="B174" s="14" t="inlineStr">
        <is>
          <t>سجل التدقيق والتكامل</t>
        </is>
      </c>
      <c r="C174" s="15" t="inlineStr">
        <is>
          <t>عزل المستأجرين (RLS)</t>
        </is>
      </c>
      <c r="D174" s="14" t="inlineStr">
        <is>
          <t>مستأجران تجريبيان</t>
        </is>
      </c>
      <c r="E174" s="14" t="inlineStr">
        <is>
          <t>1. بمستخدم من المستأجر A افتح /api/quotes/{id من B}</t>
        </is>
      </c>
      <c r="F174" s="14" t="inlineStr">
        <is>
          <t>404 — لا بيانات عبر المستأجرين</t>
        </is>
      </c>
      <c r="G174" s="13" t="inlineStr">
        <is>
          <t>P1</t>
        </is>
      </c>
      <c r="H174" s="14" t="inlineStr">
        <is>
          <t>أمان</t>
        </is>
      </c>
      <c r="I174" s="13" t="inlineStr">
        <is>
          <t>لم يُختبر</t>
        </is>
      </c>
      <c r="J174" s="14" t="inlineStr"/>
      <c r="K174" s="13" t="inlineStr"/>
      <c r="L174" s="14" t="inlineStr"/>
    </row>
    <row r="175">
      <c r="A175" s="13" t="inlineStr">
        <is>
          <t>TC-A-174</t>
        </is>
      </c>
      <c r="B175" s="14" t="inlineStr">
        <is>
          <t>سجل التدقيق والتكامل</t>
        </is>
      </c>
      <c r="C175" s="15" t="inlineStr">
        <is>
          <t>سجل التدقيق غير قابل للتعديل</t>
        </is>
      </c>
      <c r="D175" s="14" t="inlineStr">
        <is>
          <t>وصول قاعدة بيانات بدور mmc_app</t>
        </is>
      </c>
      <c r="E175" s="14" t="inlineStr">
        <is>
          <t>1. حاول UPDATE أو DELETE على audit_log</t>
        </is>
      </c>
      <c r="F175" s="14" t="inlineStr">
        <is>
          <t>العملية مرفوضة (append-only)؛ أي تلاعب يكسر التحقق /api/audit/verify</t>
        </is>
      </c>
      <c r="G175" s="13" t="inlineStr">
        <is>
          <t>P2</t>
        </is>
      </c>
      <c r="H175" s="14" t="inlineStr">
        <is>
          <t>أمان</t>
        </is>
      </c>
      <c r="I175" s="13" t="inlineStr">
        <is>
          <t>لم يُختبر</t>
        </is>
      </c>
      <c r="J175" s="14" t="inlineStr"/>
      <c r="K175" s="13" t="inlineStr"/>
      <c r="L175" s="14" t="inlineStr"/>
    </row>
    <row r="176">
      <c r="A176" s="13" t="inlineStr">
        <is>
          <t>TC-A-175</t>
        </is>
      </c>
      <c r="B176" s="14" t="inlineStr">
        <is>
          <t>سجل التدقيق والتكامل</t>
        </is>
      </c>
      <c r="C176" s="15" t="inlineStr">
        <is>
          <t>الأداء: قائمة العروض والبحث</t>
        </is>
      </c>
      <c r="D176" s="14" t="inlineStr">
        <is>
          <t>5,000 عرض و2,000 عميل</t>
        </is>
      </c>
      <c r="E176" s="14" t="inlineStr">
        <is>
          <t>1. افتح /quotes
2. ابحث في العملاء</t>
        </is>
      </c>
      <c r="F176" s="14" t="inlineStr">
        <is>
          <t>⚠ للتأكيد (السلوك المتوقع افتراض وليس قاعدة في الكود): القائمة تُحمّل خلال أقل من 2 ثانية مع ترقيم الصفحات؛ البحث أقل من ثانية</t>
        </is>
      </c>
      <c r="G176" s="13" t="inlineStr">
        <is>
          <t>P3</t>
        </is>
      </c>
      <c r="H176" s="14" t="inlineStr">
        <is>
          <t>أداء</t>
        </is>
      </c>
      <c r="I176" s="13" t="inlineStr">
        <is>
          <t>لم يُختبر</t>
        </is>
      </c>
      <c r="J176" s="14" t="inlineStr"/>
      <c r="K176" s="13" t="inlineStr"/>
      <c r="L176" s="14" t="inlineStr"/>
    </row>
    <row r="177">
      <c r="A177" s="13" t="inlineStr">
        <is>
          <t>TC-A-176</t>
        </is>
      </c>
      <c r="B177" s="14" t="inlineStr">
        <is>
          <t>سجل التدقيق والتكامل</t>
        </is>
      </c>
      <c r="C177" s="15" t="inlineStr">
        <is>
          <t>الأداء: PDF لعرض بـ 300 بند وصور</t>
        </is>
      </c>
      <c r="D177" s="14" t="inlineStr">
        <is>
          <t>Gotenberg يعمل</t>
        </is>
      </c>
      <c r="E177" s="14" t="inlineStr">
        <is>
          <t>1. اضغط PDF</t>
        </is>
      </c>
      <c r="F177" s="14" t="inlineStr">
        <is>
          <t>⚠ للتأكيد (السلوك المتوقع افتراض وليس قاعدة في الكود): يصدر خلال أقل من 15 ثانية دون انقطاع، والصور مضمّنة</t>
        </is>
      </c>
      <c r="G177" s="13" t="inlineStr">
        <is>
          <t>P3</t>
        </is>
      </c>
      <c r="H177" s="14" t="inlineStr">
        <is>
          <t>أداء</t>
        </is>
      </c>
      <c r="I177" s="13" t="inlineStr">
        <is>
          <t>لم يُختبر</t>
        </is>
      </c>
      <c r="J177" s="14" t="inlineStr"/>
      <c r="K177" s="13" t="inlineStr"/>
      <c r="L177" s="14" t="inlineStr"/>
    </row>
  </sheetData>
  <autoFilter ref="A1:L177"/>
  <conditionalFormatting sqref="A2:L177">
    <cfRule type="expression" priority="1" dxfId="0">
      <formula>$I2="ناجح"</formula>
    </cfRule>
    <cfRule type="expression" priority="2" dxfId="1">
      <formula>$I2="فاشل"</formula>
    </cfRule>
    <cfRule type="expression" priority="3" dxfId="2">
      <formula>$I2="محجوب"</formula>
    </cfRule>
  </conditionalFormatting>
  <conditionalFormatting sqref="G2:G177">
    <cfRule type="expression" priority="4" dxfId="3">
      <formula>$G2="P1"</formula>
    </cfRule>
  </conditionalFormatting>
  <dataValidations count="2">
    <dataValidation sqref="I2:I177" showDropDown="0" showInputMessage="0" showErrorMessage="0" allowBlank="0" type="list">
      <formula1>"لم يُختبر,ناجح,فاشل,محجوب"</formula1>
    </dataValidation>
    <dataValidation sqref="G2:G177" showDropDown="0" showInputMessage="0" showErrorMessage="0" allowBlank="0" type="list">
      <formula1>"P1,P2,P3"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60"/>
  <sheetViews>
    <sheetView rightToLeft="1"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8" customWidth="1" min="2" max="2"/>
    <col width="38" customWidth="1" min="3" max="3"/>
    <col width="28" customWidth="1" min="4" max="4"/>
    <col width="52" customWidth="1" min="5" max="5"/>
    <col width="46" customWidth="1" min="6" max="6"/>
    <col width="9" customWidth="1" min="7" max="7"/>
    <col width="14" customWidth="1" min="8" max="8"/>
    <col width="12" customWidth="1" min="9" max="9"/>
    <col width="14" customWidth="1" min="10" max="10"/>
    <col width="13" customWidth="1" min="11" max="11"/>
    <col width="30" customWidth="1" min="12" max="12"/>
  </cols>
  <sheetData>
    <row r="1">
      <c r="A1" s="3" t="inlineStr">
        <is>
          <t>الرقم</t>
        </is>
      </c>
      <c r="B1" s="3" t="inlineStr">
        <is>
          <t>الوحدة</t>
        </is>
      </c>
      <c r="C1" s="3" t="inlineStr">
        <is>
          <t>السيناريو</t>
        </is>
      </c>
      <c r="D1" s="3" t="inlineStr">
        <is>
          <t>الشروط المسبقة / الدور</t>
        </is>
      </c>
      <c r="E1" s="3" t="inlineStr">
        <is>
          <t>الخطوات</t>
        </is>
      </c>
      <c r="F1" s="3" t="inlineStr">
        <is>
          <t>النتيجة المتوقعة</t>
        </is>
      </c>
      <c r="G1" s="3" t="inlineStr">
        <is>
          <t>الأولوية</t>
        </is>
      </c>
      <c r="H1" s="3" t="inlineStr">
        <is>
          <t>النوع</t>
        </is>
      </c>
      <c r="I1" s="3" t="inlineStr">
        <is>
          <t>الحالة</t>
        </is>
      </c>
      <c r="J1" s="3" t="inlineStr">
        <is>
          <t>المختبِر</t>
        </is>
      </c>
      <c r="K1" s="3" t="inlineStr">
        <is>
          <t>تاريخ الاختبار</t>
        </is>
      </c>
      <c r="L1" s="3" t="inlineStr">
        <is>
          <t>ملاحظات / رقم البلاغ</t>
        </is>
      </c>
    </row>
    <row r="2">
      <c r="A2" s="13" t="inlineStr">
        <is>
          <t>TC-B-001</t>
        </is>
      </c>
      <c r="B2" s="14" t="inlineStr">
        <is>
          <t>طلبات الدفع والدفعات</t>
        </is>
      </c>
      <c r="C2" s="15" t="inlineStr">
        <is>
          <t>جدول الدفعات الافتراضي 50/40/10 يُبنى من إجمالي العقد</t>
        </is>
      </c>
      <c r="D2" s="14" t="inlineStr">
        <is>
          <t>عقد موقّع (status=signed) بإجمالي 10,000.00 ريال مرتبط بعميل؛ مستخدم بصلاحية billing.read</t>
        </is>
      </c>
      <c r="E2" s="14" t="inlineStr">
        <is>
          <t>1. افتح المالية ← العقد ← تبويب الفوترة (GET /finance/contracts/:id).
2. راجع الدفعات الثلاث ومبالغها.</t>
        </is>
      </c>
      <c r="F2" s="14" t="inlineStr">
        <is>
          <t>تظهر 3 دفعات بالترتيب: «دفعة مقدمة عند توقيع العقد» 5,000.00 و«دفعة قبل توريد المواد» 4,000.00 و«دفعة بعد الانتهاء من البرمجة والتسليم» 1,000.00، ومجموعها = إجمالي العقد بالضبط، و summary.remaining = 10,000.00.</t>
        </is>
      </c>
      <c r="G2" s="13" t="inlineStr">
        <is>
          <t>P1</t>
        </is>
      </c>
      <c r="H2" s="14" t="inlineStr">
        <is>
          <t>وظيفي</t>
        </is>
      </c>
      <c r="I2" s="13" t="inlineStr">
        <is>
          <t>لم يُختبر</t>
        </is>
      </c>
      <c r="J2" s="14" t="inlineStr"/>
      <c r="K2" s="13" t="inlineStr"/>
      <c r="L2" s="14" t="inlineStr"/>
    </row>
    <row r="3">
      <c r="A3" s="13" t="inlineStr">
        <is>
          <t>TC-B-002</t>
        </is>
      </c>
      <c r="B3" s="14" t="inlineStr">
        <is>
          <t>طلبات الدفع والدفعات</t>
        </is>
      </c>
      <c r="C3" s="15" t="inlineStr">
        <is>
          <t>تقريب الهللات في الجدول يجمع الإجمالي بالضبط (أكبر باقي)</t>
        </is>
      </c>
      <c r="D3" s="14" t="inlineStr">
        <is>
          <t>عقد بإجمالي 1,000.01 ريال (100001 هللة)</t>
        </is>
      </c>
      <c r="E3" s="14" t="inlineStr">
        <is>
          <t>1. افتح تبويب الفوترة للعقد.
2. اجمع مبالغ الدفعات الثلاث يدويًا.</t>
        </is>
      </c>
      <c r="F3" s="14" t="inlineStr">
        <is>
          <t>المبالغ 500.01/400.00/100.00 أو توزيع مماثل بأكبر باقي؛ المجموع = 1,000.01 بالضبط دون فرق هللة، ولا توجد كسور أقل من الهللة.</t>
        </is>
      </c>
      <c r="G3" s="13" t="inlineStr">
        <is>
          <t>P1</t>
        </is>
      </c>
      <c r="H3" s="14" t="inlineStr">
        <is>
          <t>حالات حدّية</t>
        </is>
      </c>
      <c r="I3" s="13" t="inlineStr">
        <is>
          <t>لم يُختبر</t>
        </is>
      </c>
      <c r="J3" s="14" t="inlineStr"/>
      <c r="K3" s="13" t="inlineStr"/>
      <c r="L3" s="14" t="inlineStr"/>
    </row>
    <row r="4">
      <c r="A4" s="13" t="inlineStr">
        <is>
          <t>TC-B-003</t>
        </is>
      </c>
      <c r="B4" s="14" t="inlineStr">
        <is>
          <t>طلبات الدفع والدفعات</t>
        </is>
      </c>
      <c r="C4" s="15" t="inlineStr">
        <is>
          <t>طلب الدفعة الأولى من عقد موقّع</t>
        </is>
      </c>
      <c r="D4" s="14" t="inlineStr">
        <is>
          <t>عقد signed مرتبط بعميل له جوال؛ مستخدم بصلاحية billing.write</t>
        </is>
      </c>
      <c r="E4" s="14" t="inlineStr">
        <is>
          <t>1. من تبويب الفوترة اضغط «طلب» على الدفعة الأولى (POST /finance/milestones/:id/request) دون dueDate.
2. افتح قائمة طلبات الدفع.</t>
        </is>
      </c>
      <c r="F4" s="14" t="inlineStr">
        <is>
          <t>يُنشأ طلب برقم MMC-PR-xxxxx بحالة draft ومبلغ 5,000.00 ورابط دفع (paymentLinkUrl) و publicToken، وتاريخ استحقاق افتراضي يقع في يوم عمل؛ تتحول الدفعة إلى requested ويُكتب سجل تدقيق request.</t>
        </is>
      </c>
      <c r="G4" s="13" t="inlineStr">
        <is>
          <t>P1</t>
        </is>
      </c>
      <c r="H4" s="14" t="inlineStr">
        <is>
          <t>وظيفي</t>
        </is>
      </c>
      <c r="I4" s="13" t="inlineStr">
        <is>
          <t>لم يُختبر</t>
        </is>
      </c>
      <c r="J4" s="14" t="inlineStr"/>
      <c r="K4" s="13" t="inlineStr"/>
      <c r="L4" s="14" t="inlineStr"/>
    </row>
    <row r="5">
      <c r="A5" s="13" t="inlineStr">
        <is>
          <t>TC-B-004</t>
        </is>
      </c>
      <c r="B5" s="14" t="inlineStr">
        <is>
          <t>طلبات الدفع والدفعات</t>
        </is>
      </c>
      <c r="C5" s="15" t="inlineStr">
        <is>
          <t>منع طلب دفعة لعقد غير موقّع</t>
        </is>
      </c>
      <c r="D5" s="14" t="inlineStr">
        <is>
          <t>عقد بحالة draft أو sent_for_signature</t>
        </is>
      </c>
      <c r="E5" s="14" t="inlineStr">
        <is>
          <t>1. استدعِ POST /finance/milestones/:id/request لأول دفعة.</t>
        </is>
      </c>
      <c r="F5" s="14" t="inlineStr">
        <is>
          <t>400 برسالة «the contract must be signed before requesting payments» ولا يُستهلك رقم MMC-PR.</t>
        </is>
      </c>
      <c r="G5" s="13" t="inlineStr">
        <is>
          <t>P1</t>
        </is>
      </c>
      <c r="H5" s="14" t="inlineStr">
        <is>
          <t>تحقق من المدخلات</t>
        </is>
      </c>
      <c r="I5" s="13" t="inlineStr">
        <is>
          <t>لم يُختبر</t>
        </is>
      </c>
      <c r="J5" s="14" t="inlineStr"/>
      <c r="K5" s="13" t="inlineStr"/>
      <c r="L5" s="14" t="inlineStr"/>
    </row>
    <row r="6">
      <c r="A6" s="13" t="inlineStr">
        <is>
          <t>TC-B-005</t>
        </is>
      </c>
      <c r="B6" s="14" t="inlineStr">
        <is>
          <t>طلبات الدفع والدفعات</t>
        </is>
      </c>
      <c r="C6" s="15" t="inlineStr">
        <is>
          <t>منع فتح طلبين لنفس الدفعة</t>
        </is>
      </c>
      <c r="D6" s="14" t="inlineStr">
        <is>
          <t>يوجد طلب دفع مفتوح (draft/sent/partially_paid) للدفعة الأولى</t>
        </is>
      </c>
      <c r="E6" s="14" t="inlineStr">
        <is>
          <t>1. اطلب الدفعة نفسها مرة ثانية.</t>
        </is>
      </c>
      <c r="F6" s="14" t="inlineStr">
        <is>
          <t>409 «payment request MMC-PR-… is already open for this milestone» ولا يُنشأ طلب ثانٍ.</t>
        </is>
      </c>
      <c r="G6" s="13" t="inlineStr">
        <is>
          <t>P1</t>
        </is>
      </c>
      <c r="H6" s="14" t="inlineStr">
        <is>
          <t>حالات حدّية</t>
        </is>
      </c>
      <c r="I6" s="13" t="inlineStr">
        <is>
          <t>لم يُختبر</t>
        </is>
      </c>
      <c r="J6" s="14" t="inlineStr"/>
      <c r="K6" s="13" t="inlineStr"/>
      <c r="L6" s="14" t="inlineStr"/>
    </row>
    <row r="7">
      <c r="A7" s="13" t="inlineStr">
        <is>
          <t>TC-B-006</t>
        </is>
      </c>
      <c r="B7" s="14" t="inlineStr">
        <is>
          <t>طلبات الدفع والدفعات</t>
        </is>
      </c>
      <c r="C7" s="15" t="inlineStr">
        <is>
          <t>إرسال طلب الدفع عبر واتساب (وضع المحاكاة)</t>
        </is>
      </c>
      <c r="D7" s="14" t="inlineStr">
        <is>
          <t>طلب بحالة draft؛ لا توجد متغيرات بيئة واتساب (sandbox)</t>
        </is>
      </c>
      <c r="E7" s="14" t="inlineStr">
        <is>
          <t>1. اضغط «إرسال» واختر واتساب (POST /finance/payment-requests/:id/send channel=whatsapp).
2. افتح صندوق الرسائل/السجل.</t>
        </is>
      </c>
      <c r="F7" s="14" t="inlineStr">
        <is>
          <t>تتحول الحالة إلى sent ويُسجّل sentAt؛ تُسجَّل الرسالة في السجل كمحاكاة (لا تُرسل فعليًا) وتحتوي رقم الطلب والمبلغ المتبقي ورابط /p/{token}.</t>
        </is>
      </c>
      <c r="G7" s="13" t="inlineStr">
        <is>
          <t>P1</t>
        </is>
      </c>
      <c r="H7" s="14" t="inlineStr">
        <is>
          <t>تكامل</t>
        </is>
      </c>
      <c r="I7" s="13" t="inlineStr">
        <is>
          <t>لم يُختبر</t>
        </is>
      </c>
      <c r="J7" s="14" t="inlineStr"/>
      <c r="K7" s="13" t="inlineStr"/>
      <c r="L7" s="14" t="inlineStr"/>
    </row>
    <row r="8">
      <c r="A8" s="13" t="inlineStr">
        <is>
          <t>TC-B-007</t>
        </is>
      </c>
      <c r="B8" s="14" t="inlineStr">
        <is>
          <t>طلبات الدفع والدفعات</t>
        </is>
      </c>
      <c r="C8" s="15" t="inlineStr">
        <is>
          <t>إلغاء طلب دفع غير مدفوع يعيد الدفعة إلى pending</t>
        </is>
      </c>
      <c r="D8" s="14" t="inlineStr">
        <is>
          <t>طلب sent بمبلغ مدفوع 0</t>
        </is>
      </c>
      <c r="E8" s="14" t="inlineStr">
        <is>
          <t>1. اضغط «إلغاء» واكتب السبب (POST …/cancel reason).
2. افتح تبويب الفوترة.</t>
        </is>
      </c>
      <c r="F8" s="14" t="inlineStr">
        <is>
          <t>حالة الطلب cancelled، والدفعة تعود pending ويمكن طلبها من جديد برقم MMC-PR جديد (لا يُعاد استخدام الرقم الملغى)؛ سجل تدقيق cancel مع السبب.</t>
        </is>
      </c>
      <c r="G8" s="13" t="inlineStr">
        <is>
          <t>P1</t>
        </is>
      </c>
      <c r="H8" s="14" t="inlineStr">
        <is>
          <t>وظيفي</t>
        </is>
      </c>
      <c r="I8" s="13" t="inlineStr">
        <is>
          <t>لم يُختبر</t>
        </is>
      </c>
      <c r="J8" s="14" t="inlineStr"/>
      <c r="K8" s="13" t="inlineStr"/>
      <c r="L8" s="14" t="inlineStr"/>
    </row>
    <row r="9">
      <c r="A9" s="13" t="inlineStr">
        <is>
          <t>TC-B-008</t>
        </is>
      </c>
      <c r="B9" s="14" t="inlineStr">
        <is>
          <t>طلبات الدفع والدفعات</t>
        </is>
      </c>
      <c r="C9" s="15" t="inlineStr">
        <is>
          <t>منع إلغاء طلب مدفوع جزئيًا</t>
        </is>
      </c>
      <c r="D9" s="14" t="inlineStr">
        <is>
          <t>طلب partially_paid</t>
        </is>
      </c>
      <c r="E9" s="14" t="inlineStr">
        <is>
          <t>1. حاول إلغاءه.</t>
        </is>
      </c>
      <c r="F9" s="14" t="inlineStr">
        <is>
          <t>400 «a partly paid request cannot be cancelled — issue a credit note instead».</t>
        </is>
      </c>
      <c r="G9" s="13" t="inlineStr">
        <is>
          <t>P1</t>
        </is>
      </c>
      <c r="H9" s="14" t="inlineStr">
        <is>
          <t>حالات حدّية</t>
        </is>
      </c>
      <c r="I9" s="13" t="inlineStr">
        <is>
          <t>لم يُختبر</t>
        </is>
      </c>
      <c r="J9" s="14" t="inlineStr"/>
      <c r="K9" s="13" t="inlineStr"/>
      <c r="L9" s="14" t="inlineStr"/>
    </row>
    <row r="10">
      <c r="A10" s="13" t="inlineStr">
        <is>
          <t>TC-B-009</t>
        </is>
      </c>
      <c r="B10" s="14" t="inlineStr">
        <is>
          <t>طلبات الدفع والدفعات</t>
        </is>
      </c>
      <c r="C10" s="15" t="inlineStr">
        <is>
          <t>نطاق السجلات: مندوب يرى طلبات عقوده فقط</t>
        </is>
      </c>
      <c r="D10" s="14" t="inlineStr">
        <is>
          <t>مستخدم billing.read بنطاق own؛ طلبات لعقود مالكين مختلفين</t>
        </is>
      </c>
      <c r="E10" s="14" t="inlineStr">
        <is>
          <t>1. سجّل الدخول كمندوب وافتح قائمة طلبات الدفع.
2. حاول فتح عقد زميل عبر /finance/contracts/:id.</t>
        </is>
      </c>
      <c r="F10" s="14" t="inlineStr">
        <is>
          <t>تظهر طلبات عقوده فقط؛ عقد الزميل يعيد 403/404.</t>
        </is>
      </c>
      <c r="G10" s="13" t="inlineStr">
        <is>
          <t>P1</t>
        </is>
      </c>
      <c r="H10" s="14" t="inlineStr">
        <is>
          <t>صلاحيات</t>
        </is>
      </c>
      <c r="I10" s="13" t="inlineStr">
        <is>
          <t>لم يُختبر</t>
        </is>
      </c>
      <c r="J10" s="14" t="inlineStr"/>
      <c r="K10" s="13" t="inlineStr"/>
      <c r="L10" s="14" t="inlineStr"/>
    </row>
    <row r="11">
      <c r="A11" s="13" t="inlineStr">
        <is>
          <t>TC-B-010</t>
        </is>
      </c>
      <c r="B11" s="14" t="inlineStr">
        <is>
          <t>طلبات الدفع والدفعات</t>
        </is>
      </c>
      <c r="C11" s="15" t="inlineStr">
        <is>
          <t>مستخدم بلا billing.write لا يستطيع طلب دفعة</t>
        </is>
      </c>
      <c r="D11" s="14" t="inlineStr">
        <is>
          <t>دور بصلاحية billing.read فقط</t>
        </is>
      </c>
      <c r="E11" s="14" t="inlineStr">
        <is>
          <t>1. اضغط «طلب» أو استدعِ POST …/request.</t>
        </is>
      </c>
      <c r="F11" s="14" t="inlineStr">
        <is>
          <t>403 ولا يظهر الزر في الواجهة.</t>
        </is>
      </c>
      <c r="G11" s="13" t="inlineStr">
        <is>
          <t>P1</t>
        </is>
      </c>
      <c r="H11" s="14" t="inlineStr">
        <is>
          <t>صلاحيات</t>
        </is>
      </c>
      <c r="I11" s="13" t="inlineStr">
        <is>
          <t>لم يُختبر</t>
        </is>
      </c>
      <c r="J11" s="14" t="inlineStr"/>
      <c r="K11" s="13" t="inlineStr"/>
      <c r="L11" s="14" t="inlineStr"/>
    </row>
    <row r="12">
      <c r="A12" s="13" t="inlineStr">
        <is>
          <t>TC-B-011</t>
        </is>
      </c>
      <c r="B12" s="14" t="inlineStr">
        <is>
          <t>طلبات الدفع والدفعات</t>
        </is>
      </c>
      <c r="C12" s="15" t="inlineStr">
        <is>
          <t>ترقيم طلبات الدفع لا يعاد استخدامه تحت التزامن</t>
        </is>
      </c>
      <c r="D12" s="14" t="inlineStr">
        <is>
          <t>عقدان موقّعان</t>
        </is>
      </c>
      <c r="E12" s="14" t="inlineStr">
        <is>
          <t>1. اطلب دفعتين من عقدين مختلفين في اللحظة نفسها (طلبان متوازيان).</t>
        </is>
      </c>
      <c r="F12" s="14" t="inlineStr">
        <is>
          <t>رقمان MMC-PR متتاليان ومختلفان، بدون تكرار أو فجوة غير مبررة.</t>
        </is>
      </c>
      <c r="G12" s="13" t="inlineStr">
        <is>
          <t>P1</t>
        </is>
      </c>
      <c r="H12" s="14" t="inlineStr">
        <is>
          <t>أداء</t>
        </is>
      </c>
      <c r="I12" s="13" t="inlineStr">
        <is>
          <t>لم يُختبر</t>
        </is>
      </c>
      <c r="J12" s="14" t="inlineStr"/>
      <c r="K12" s="13" t="inlineStr"/>
      <c r="L12" s="14" t="inlineStr"/>
    </row>
    <row r="13">
      <c r="A13" s="13" t="inlineStr">
        <is>
          <t>TC-B-012</t>
        </is>
      </c>
      <c r="B13" s="14" t="inlineStr">
        <is>
          <t>طلبات الدفع والدفعات</t>
        </is>
      </c>
      <c r="C13" s="15" t="inlineStr">
        <is>
          <t>جدول دفعات مخصص لا يساوي 100% يُرفض</t>
        </is>
      </c>
      <c r="D13" s="14" t="inlineStr">
        <is>
          <t>مستخدم يعدّل جدول دفعات عقد مسودة</t>
        </is>
      </c>
      <c r="E13" s="14" t="inlineStr">
        <is>
          <t>1. عدّل النسب إلى 50/30/10 (المجموع 90%).
2. احفظ.</t>
        </is>
      </c>
      <c r="F13" s="14" t="inlineStr">
        <is>
          <t>يُرفض الحفظ برسالة «payment schedule must total 100%» ولا تُنشأ دفعات.</t>
        </is>
      </c>
      <c r="G13" s="13" t="inlineStr">
        <is>
          <t>P2</t>
        </is>
      </c>
      <c r="H13" s="14" t="inlineStr">
        <is>
          <t>تحقق من المدخلات</t>
        </is>
      </c>
      <c r="I13" s="13" t="inlineStr">
        <is>
          <t>لم يُختبر</t>
        </is>
      </c>
      <c r="J13" s="14" t="inlineStr"/>
      <c r="K13" s="13" t="inlineStr"/>
      <c r="L13" s="14" t="inlineStr"/>
    </row>
    <row r="14">
      <c r="A14" s="13" t="inlineStr">
        <is>
          <t>TC-B-013</t>
        </is>
      </c>
      <c r="B14" s="14" t="inlineStr">
        <is>
          <t>طلبات الدفع والدفعات</t>
        </is>
      </c>
      <c r="C14" s="15" t="inlineStr">
        <is>
          <t>منع طلب دفعة لعقد بلا عميل مرتبط</t>
        </is>
      </c>
      <c r="D14" s="14" t="inlineStr">
        <is>
          <t>عقد موقّع partyId فارغ</t>
        </is>
      </c>
      <c r="E14" s="14" t="inlineStr">
        <is>
          <t>1. اطلب الدفعة الأولى.</t>
        </is>
      </c>
      <c r="F14" s="14" t="inlineStr">
        <is>
          <t>400 «link the contract to a customer first».</t>
        </is>
      </c>
      <c r="G14" s="13" t="inlineStr">
        <is>
          <t>P2</t>
        </is>
      </c>
      <c r="H14" s="14" t="inlineStr">
        <is>
          <t>تحقق من المدخلات</t>
        </is>
      </c>
      <c r="I14" s="13" t="inlineStr">
        <is>
          <t>لم يُختبر</t>
        </is>
      </c>
      <c r="J14" s="14" t="inlineStr"/>
      <c r="K14" s="13" t="inlineStr"/>
      <c r="L14" s="14" t="inlineStr"/>
    </row>
    <row r="15">
      <c r="A15" s="13" t="inlineStr">
        <is>
          <t>TC-B-014</t>
        </is>
      </c>
      <c r="B15" s="14" t="inlineStr">
        <is>
          <t>طلبات الدفع والدفعات</t>
        </is>
      </c>
      <c r="C15" s="15" t="inlineStr">
        <is>
          <t>منع طلب دفعة مدفوعة بالكامل</t>
        </is>
      </c>
      <c r="D15" s="14" t="inlineStr">
        <is>
          <t>دفعة بحالة paid</t>
        </is>
      </c>
      <c r="E15" s="14" t="inlineStr">
        <is>
          <t>1. اطلبها مجددًا.</t>
        </is>
      </c>
      <c r="F15" s="14" t="inlineStr">
        <is>
          <t>400 «milestone already paid».</t>
        </is>
      </c>
      <c r="G15" s="13" t="inlineStr">
        <is>
          <t>P2</t>
        </is>
      </c>
      <c r="H15" s="14" t="inlineStr">
        <is>
          <t>حالات حدّية</t>
        </is>
      </c>
      <c r="I15" s="13" t="inlineStr">
        <is>
          <t>لم يُختبر</t>
        </is>
      </c>
      <c r="J15" s="14" t="inlineStr"/>
      <c r="K15" s="13" t="inlineStr"/>
      <c r="L15" s="14" t="inlineStr"/>
    </row>
    <row r="16">
      <c r="A16" s="13" t="inlineStr">
        <is>
          <t>TC-B-015</t>
        </is>
      </c>
      <c r="B16" s="14" t="inlineStr">
        <is>
          <t>طلبات الدفع والدفعات</t>
        </is>
      </c>
      <c r="C16" s="15" t="inlineStr">
        <is>
          <t>إرسال طلب لعميل بلا جوال أو بريد</t>
        </is>
      </c>
      <c r="D16" s="14" t="inlineStr">
        <is>
          <t>عميل لا يملك جوالًا ولا بريدًا ولم يُمرَّر to</t>
        </is>
      </c>
      <c r="E16" s="14" t="inlineStr">
        <is>
          <t>1. أرسل الطلب عبر email.</t>
        </is>
      </c>
      <c r="F16" s="14" t="inlineStr">
        <is>
          <t>400 «no recipient on file for this customer» وتبقى الحالة draft.</t>
        </is>
      </c>
      <c r="G16" s="13" t="inlineStr">
        <is>
          <t>P2</t>
        </is>
      </c>
      <c r="H16" s="14" t="inlineStr">
        <is>
          <t>تحقق من المدخلات</t>
        </is>
      </c>
      <c r="I16" s="13" t="inlineStr">
        <is>
          <t>لم يُختبر</t>
        </is>
      </c>
      <c r="J16" s="14" t="inlineStr"/>
      <c r="K16" s="13" t="inlineStr"/>
      <c r="L16" s="14" t="inlineStr"/>
    </row>
    <row r="17">
      <c r="A17" s="13" t="inlineStr">
        <is>
          <t>TC-B-016</t>
        </is>
      </c>
      <c r="B17" s="14" t="inlineStr">
        <is>
          <t>طلبات الدفع والدفعات</t>
        </is>
      </c>
      <c r="C17" s="15" t="inlineStr">
        <is>
          <t>طباعة PDF طلب الدفع بالعربية</t>
        </is>
      </c>
      <c r="D17" s="14" t="inlineStr">
        <is>
          <t>طلب دفع موجود</t>
        </is>
      </c>
      <c r="E17" s="14" t="inlineStr">
        <is>
          <t>1. افتح GET /finance/payment-requests/:id/pdf.</t>
        </is>
      </c>
      <c r="F17" s="14" t="inlineStr">
        <is>
          <t>ملف PDF باسم {رقم الطلب}.pdf، اتجاه RTL، يظهر اسم العميل ورقم العقد واسم الدفعة والمبلغ والمدفوع ورابط الدفع وبيانات البنك/QR الآيبان، بدون ختم الشركة.</t>
        </is>
      </c>
      <c r="G17" s="13" t="inlineStr">
        <is>
          <t>P2</t>
        </is>
      </c>
      <c r="H17" s="14" t="inlineStr">
        <is>
          <t>واجهة وعرض</t>
        </is>
      </c>
      <c r="I17" s="13" t="inlineStr">
        <is>
          <t>لم يُختبر</t>
        </is>
      </c>
      <c r="J17" s="14" t="inlineStr"/>
      <c r="K17" s="13" t="inlineStr"/>
      <c r="L17" s="14" t="inlineStr"/>
    </row>
    <row r="18">
      <c r="A18" s="13" t="inlineStr">
        <is>
          <t>TC-B-017</t>
        </is>
      </c>
      <c r="B18" s="14" t="inlineStr">
        <is>
          <t>طلبات الدفع والدفعات</t>
        </is>
      </c>
      <c r="C18" s="15" t="inlineStr">
        <is>
          <t>فلترة الطلبات المتأخرة</t>
        </is>
      </c>
      <c r="D18" s="14" t="inlineStr">
        <is>
          <t>طلبات sent بتاريخ استحقاق أمس وأخرى مستقبلية وأخرى paid</t>
        </is>
      </c>
      <c r="E18" s="14" t="inlineStr">
        <is>
          <t>1. افتح الطلبات مع overdue=true.</t>
        </is>
      </c>
      <c r="F18" s="14" t="inlineStr">
        <is>
          <t>تظهر فقط الطلبات sent/partially_paid التي dueDate قبل اليوم.</t>
        </is>
      </c>
      <c r="G18" s="13" t="inlineStr">
        <is>
          <t>P2</t>
        </is>
      </c>
      <c r="H18" s="14" t="inlineStr">
        <is>
          <t>وظيفي</t>
        </is>
      </c>
      <c r="I18" s="13" t="inlineStr">
        <is>
          <t>لم يُختبر</t>
        </is>
      </c>
      <c r="J18" s="14" t="inlineStr"/>
      <c r="K18" s="13" t="inlineStr"/>
      <c r="L18" s="14" t="inlineStr"/>
    </row>
    <row r="19">
      <c r="A19" s="13" t="inlineStr">
        <is>
          <t>TC-B-018</t>
        </is>
      </c>
      <c r="B19" s="14" t="inlineStr">
        <is>
          <t>طلبات الدفع والدفعات</t>
        </is>
      </c>
      <c r="C19" s="15" t="inlineStr">
        <is>
          <t>التذكيرات تُرسل في أيام العمل فقط وبالإزاحات المحددة</t>
        </is>
      </c>
      <c r="D19" s="14" t="inlineStr">
        <is>
          <t>طلب sent dueDate بعد 3 أيام؛ العامل (worker) يعمل</t>
        </is>
      </c>
      <c r="E19" s="14" t="inlineStr">
        <is>
          <t>1. شغّل runReminders في يوم عمل يوافق -3 من الاستحقاق.
2. شغّله مرة ثانية في اليوم نفسه.
3. شغّله في يوم عطلة (جمعة/عطلة رسمية).</t>
        </is>
      </c>
      <c r="F19" s="14" t="inlineStr">
        <is>
          <t>يُرسل تذكير payment_reminder مرة واحدة ويُضاف -3 إلى remindersSent؛ التشغيل الثاني لا يكرر؛ يوم العطلة لا يرسل شيئًا (skippedNonBusinessDay=true). الإزاحات: -3, 0, 3, 7, 14, 30.</t>
        </is>
      </c>
      <c r="G19" s="13" t="inlineStr">
        <is>
          <t>P2</t>
        </is>
      </c>
      <c r="H19" s="14" t="inlineStr">
        <is>
          <t>وظيفي</t>
        </is>
      </c>
      <c r="I19" s="13" t="inlineStr">
        <is>
          <t>لم يُختبر</t>
        </is>
      </c>
      <c r="J19" s="14" t="inlineStr"/>
      <c r="K19" s="13" t="inlineStr"/>
      <c r="L19" s="14" t="inlineStr"/>
    </row>
    <row r="20">
      <c r="A20" s="13" t="inlineStr">
        <is>
          <t>TC-B-019</t>
        </is>
      </c>
      <c r="B20" s="14" t="inlineStr">
        <is>
          <t>طلبات الدفع والدفعات</t>
        </is>
      </c>
      <c r="C20" s="15" t="inlineStr">
        <is>
          <t>لا تذكيرات لطلب مدفوع أو ملغى أو مسودة</t>
        </is>
      </c>
      <c r="D20" s="14" t="inlineStr">
        <is>
          <t>طلبات بحالات paid/cancelled/draft متأخرة</t>
        </is>
      </c>
      <c r="E20" s="14" t="inlineStr">
        <is>
          <t>1. شغّل التذكير.</t>
        </is>
      </c>
      <c r="F20" s="14" t="inlineStr">
        <is>
          <t>لا تُرسل أي رسالة لها.</t>
        </is>
      </c>
      <c r="G20" s="13" t="inlineStr">
        <is>
          <t>P2</t>
        </is>
      </c>
      <c r="H20" s="14" t="inlineStr">
        <is>
          <t>حالات حدّية</t>
        </is>
      </c>
      <c r="I20" s="13" t="inlineStr">
        <is>
          <t>لم يُختبر</t>
        </is>
      </c>
      <c r="J20" s="14" t="inlineStr"/>
      <c r="K20" s="13" t="inlineStr"/>
      <c r="L20" s="14" t="inlineStr"/>
    </row>
    <row r="21">
      <c r="A21" s="13" t="inlineStr">
        <is>
          <t>TC-B-020</t>
        </is>
      </c>
      <c r="B21" s="14" t="inlineStr">
        <is>
          <t>طلبات الدفع والدفعات</t>
        </is>
      </c>
      <c r="C21" s="15" t="inlineStr">
        <is>
          <t>الإلغاء يتطلب سببًا</t>
        </is>
      </c>
      <c r="D21" s="14" t="inlineStr">
        <is>
          <t>طلب sent</t>
        </is>
      </c>
      <c r="E21" s="14" t="inlineStr">
        <is>
          <t>1. أرسل cancel بسبب فارغ ""</t>
        </is>
      </c>
      <c r="F21" s="14" t="inlineStr">
        <is>
          <t>400 خطأ تحقق (reason min 1).</t>
        </is>
      </c>
      <c r="G21" s="13" t="inlineStr">
        <is>
          <t>P3</t>
        </is>
      </c>
      <c r="H21" s="14" t="inlineStr">
        <is>
          <t>تحقق من المدخلات</t>
        </is>
      </c>
      <c r="I21" s="13" t="inlineStr">
        <is>
          <t>لم يُختبر</t>
        </is>
      </c>
      <c r="J21" s="14" t="inlineStr"/>
      <c r="K21" s="13" t="inlineStr"/>
      <c r="L21" s="14" t="inlineStr"/>
    </row>
    <row r="22">
      <c r="A22" s="13" t="inlineStr">
        <is>
          <t>TC-B-021</t>
        </is>
      </c>
      <c r="B22" s="14" t="inlineStr">
        <is>
          <t>طلبات الدفع والدفعات</t>
        </is>
      </c>
      <c r="C22" s="15" t="inlineStr">
        <is>
          <t>تذكيرات متراكمة بعد عطلة طويلة لا تُرسل رسائل متعددة</t>
        </is>
      </c>
      <c r="D22" s="14" t="inlineStr">
        <is>
          <t>طلب فاتته إزاحتا 0 و3 بسبب عطلة</t>
        </is>
      </c>
      <c r="E22" s="14" t="inlineStr">
        <is>
          <t>1. شغّل التذكير في أول يوم عمل.</t>
        </is>
      </c>
      <c r="F22" s="14" t="inlineStr">
        <is>
          <t>تُرسل رسالة واحدة فقط وتُسجَّل الإزاحتان معًا في remindersSent.</t>
        </is>
      </c>
      <c r="G22" s="13" t="inlineStr">
        <is>
          <t>P3</t>
        </is>
      </c>
      <c r="H22" s="14" t="inlineStr">
        <is>
          <t>حالات حدّية</t>
        </is>
      </c>
      <c r="I22" s="13" t="inlineStr">
        <is>
          <t>لم يُختبر</t>
        </is>
      </c>
      <c r="J22" s="14" t="inlineStr"/>
      <c r="K22" s="13" t="inlineStr"/>
      <c r="L22" s="14" t="inlineStr"/>
    </row>
    <row r="23">
      <c r="A23" s="13" t="inlineStr">
        <is>
          <t>TC-B-022</t>
        </is>
      </c>
      <c r="B23" s="14" t="inlineStr">
        <is>
          <t>الفواتير وZATCA</t>
        </is>
      </c>
      <c r="C23" s="15" t="inlineStr">
        <is>
          <t>دفع الدفعة الأولى يصدر فاتورة دفعة مقدمة 386 بنفس المبلغ</t>
        </is>
      </c>
      <c r="D23" s="14" t="inlineStr">
        <is>
          <t>منشأة مسجلة ضريبيًا؛ عقد vatOn؛ طلب دفعة أولى 5,750.00 شامل الضريبة</t>
        </is>
      </c>
      <c r="E23" s="14" t="inlineStr">
        <is>
          <t>1. سجّل دفعة كاملة للطلب.
2. افتح المالية ← الفواتير.</t>
        </is>
      </c>
      <c r="F23" s="14" t="inlineStr">
        <is>
          <t>تصدر فاتورة typeCode=386 إجماليها 5,750.00 = المبلغ المستلم، والضريبة = 5750×15/115 = 750.00 (تقريب نصفي)، والصافي 5,000.00؛ إن اختلف الإجمالي عن المستلم تفشل العملية كلها.</t>
        </is>
      </c>
      <c r="G23" s="13" t="inlineStr">
        <is>
          <t>P1</t>
        </is>
      </c>
      <c r="H23" s="14" t="inlineStr">
        <is>
          <t>وظيفي</t>
        </is>
      </c>
      <c r="I23" s="13" t="inlineStr">
        <is>
          <t>لم يُختبر</t>
        </is>
      </c>
      <c r="J23" s="14" t="inlineStr"/>
      <c r="K23" s="13" t="inlineStr"/>
      <c r="L23" s="14" t="inlineStr"/>
    </row>
    <row r="24">
      <c r="A24" s="13" t="inlineStr">
        <is>
          <t>TC-B-023</t>
        </is>
      </c>
      <c r="B24" s="14" t="inlineStr">
        <is>
          <t>الفواتير وZATCA</t>
        </is>
      </c>
      <c r="C24" s="15" t="inlineStr">
        <is>
          <t>الدفعة الأخيرة تصدر 388 كاملة مع خصم الدفعات المقدمة</t>
        </is>
      </c>
      <c r="D24" s="14" t="inlineStr">
        <is>
          <t>عقد 10,000 شامل الضريبة؛ الدفعتان 1 و2 مدفوعتان (386 ×2)</t>
        </is>
      </c>
      <c r="E24" s="14" t="inlineStr">
        <is>
          <t>1. اطلب الدفعة الأخيرة.
2. افتح الفاتورة 388 و PDF الخاص بها.</t>
        </is>
      </c>
      <c r="F24" s="14" t="inlineStr">
        <is>
          <t>تصدر 388 بجميع بنود العقد وضريبتها الكاملة، prepaidAmount = مجموع 386 (9,000.00) وbalanceDue = 1,000.00؛ مبلغ طلب الدفع الأخير = balanceDue. لا تُصدر 386 للدفعة الأخيرة.</t>
        </is>
      </c>
      <c r="G24" s="13" t="inlineStr">
        <is>
          <t>P1</t>
        </is>
      </c>
      <c r="H24" s="14" t="inlineStr">
        <is>
          <t>وظيفي</t>
        </is>
      </c>
      <c r="I24" s="13" t="inlineStr">
        <is>
          <t>لم يُختبر</t>
        </is>
      </c>
      <c r="J24" s="14" t="inlineStr"/>
      <c r="K24" s="13" t="inlineStr"/>
      <c r="L24" s="14" t="inlineStr"/>
    </row>
    <row r="25">
      <c r="A25" s="13" t="inlineStr">
        <is>
          <t>TC-B-024</t>
        </is>
      </c>
      <c r="B25" s="14" t="inlineStr">
        <is>
          <t>الفواتير وZATCA</t>
        </is>
      </c>
      <c r="C25" s="15" t="inlineStr">
        <is>
          <t>إصدار الفاتورة النهائية مرتين لا يكررها (idempotency)</t>
        </is>
      </c>
      <c r="D25" s="14" t="inlineStr">
        <is>
          <t>عقد صدرت له 388</t>
        </is>
      </c>
      <c r="E25" s="14" t="inlineStr">
        <is>
          <t>1. استدعِ POST /finance/contracts/:id/final-invoice مرة ثانية.</t>
        </is>
      </c>
      <c r="F25" s="14" t="inlineStr">
        <is>
          <t>تُعاد الفاتورة نفسها (idempotencyKey final:{contractId}) ولا تُنشأ 388 ثانية ولا يُستهلك رقم فاتورة.</t>
        </is>
      </c>
      <c r="G25" s="13" t="inlineStr">
        <is>
          <t>P1</t>
        </is>
      </c>
      <c r="H25" s="14" t="inlineStr">
        <is>
          <t>حالات حدّية</t>
        </is>
      </c>
      <c r="I25" s="13" t="inlineStr">
        <is>
          <t>لم يُختبر</t>
        </is>
      </c>
      <c r="J25" s="14" t="inlineStr"/>
      <c r="K25" s="13" t="inlineStr"/>
      <c r="L25" s="14" t="inlineStr"/>
    </row>
    <row r="26">
      <c r="A26" s="13" t="inlineStr">
        <is>
          <t>TC-B-025</t>
        </is>
      </c>
      <c r="B26" s="14" t="inlineStr">
        <is>
          <t>الفواتير وZATCA</t>
        </is>
      </c>
      <c r="C26" s="15" t="inlineStr">
        <is>
          <t>إشعار دائن 381 جزئي على فاتورة</t>
        </is>
      </c>
      <c r="D26" s="14" t="inlineStr">
        <is>
          <t>فاتورة 388 بقيمة 1,150.00؛ مستخدم invoice.issue</t>
        </is>
      </c>
      <c r="E26" s="14" t="inlineStr">
        <is>
          <t>1. من الفاتورة اختر «إشعار دائن»، المبلغ 115.00 والسبب «خصم تسوية».</t>
        </is>
      </c>
      <c r="F26" s="14" t="inlineStr">
        <is>
          <t>تصدر 381 بإجمالي سالب -115.00 مرتبطة بالأصل (originalInvoiceId)، وصف «إشعار دائن على الفاتورة …»؛ سجل تدقيق issue_381؛ لا تُعدَّل الفاتورة الأصلية.</t>
        </is>
      </c>
      <c r="G26" s="13" t="inlineStr">
        <is>
          <t>P1</t>
        </is>
      </c>
      <c r="H26" s="14" t="inlineStr">
        <is>
          <t>وظيفي</t>
        </is>
      </c>
      <c r="I26" s="13" t="inlineStr">
        <is>
          <t>لم يُختبر</t>
        </is>
      </c>
      <c r="J26" s="14" t="inlineStr"/>
      <c r="K26" s="13" t="inlineStr"/>
      <c r="L26" s="14" t="inlineStr"/>
    </row>
    <row r="27">
      <c r="A27" s="13" t="inlineStr">
        <is>
          <t>TC-B-026</t>
        </is>
      </c>
      <c r="B27" s="14" t="inlineStr">
        <is>
          <t>الفواتير وZATCA</t>
        </is>
      </c>
      <c r="C27" s="15" t="inlineStr">
        <is>
          <t>حدود مبلغ الإشعار الدائن</t>
        </is>
      </c>
      <c r="D27" s="14" t="inlineStr">
        <is>
          <t>فاتورة بإجمالي 1,150.00</t>
        </is>
      </c>
      <c r="E27" s="14" t="inlineStr">
        <is>
          <t>1. أرسل credit-note بمبلغ 0.
2. بمبلغ 1,150.01.
3. بسبب من حرفين «ab».</t>
        </is>
      </c>
      <c r="F27" s="14" t="inlineStr">
        <is>
          <t>الأول والثاني: 400 «credit amount must be between 0 and the invoice total»؛ الثالث: خطأ تحقق (reason min 3).</t>
        </is>
      </c>
      <c r="G27" s="13" t="inlineStr">
        <is>
          <t>P1</t>
        </is>
      </c>
      <c r="H27" s="14" t="inlineStr">
        <is>
          <t>تحقق من المدخلات</t>
        </is>
      </c>
      <c r="I27" s="13" t="inlineStr">
        <is>
          <t>لم يُختبر</t>
        </is>
      </c>
      <c r="J27" s="14" t="inlineStr"/>
      <c r="K27" s="13" t="inlineStr"/>
      <c r="L27" s="14" t="inlineStr"/>
    </row>
    <row r="28">
      <c r="A28" s="13" t="inlineStr">
        <is>
          <t>TC-B-027</t>
        </is>
      </c>
      <c r="B28" s="14" t="inlineStr">
        <is>
          <t>الفواتير وZATCA</t>
        </is>
      </c>
      <c r="C28" s="15" t="inlineStr">
        <is>
          <t>QR المرحلة الأولى على الفاتورة الضريبية</t>
        </is>
      </c>
      <c r="D28" s="14" t="inlineStr">
        <is>
          <t>منشأة مسجلة برقم ضريبي 15 خانة</t>
        </is>
      </c>
      <c r="E28" s="14" t="inlineStr">
        <is>
          <t>1. أصدر فاتورة 386.
2. افحص qrPayload وفك Base64.</t>
        </is>
      </c>
      <c r="F28" s="14" t="inlineStr">
        <is>
          <t>TLV بالوسوم 1–5 فقط: اسم البائع، الرقم الضريبي، التاريخ والوقت بتوقيت الرياض بدون Z، الإجمالي، الضريبة؛ أطوال BER؛ يُقرأ بتطبيق ZATCA.</t>
        </is>
      </c>
      <c r="G28" s="13" t="inlineStr">
        <is>
          <t>P1</t>
        </is>
      </c>
      <c r="H28" s="14" t="inlineStr">
        <is>
          <t>وظيفي</t>
        </is>
      </c>
      <c r="I28" s="13" t="inlineStr">
        <is>
          <t>لم يُختبر</t>
        </is>
      </c>
      <c r="J28" s="14" t="inlineStr"/>
      <c r="K28" s="13" t="inlineStr"/>
      <c r="L28" s="14" t="inlineStr"/>
    </row>
    <row r="29">
      <c r="A29" s="13" t="inlineStr">
        <is>
          <t>TC-B-028</t>
        </is>
      </c>
      <c r="B29" s="14" t="inlineStr">
        <is>
          <t>الفواتير وZATCA</t>
        </is>
      </c>
      <c r="C29" s="15" t="inlineStr">
        <is>
          <t>وضع غير مسجل ضريبيًا: فاتورة عادية بلا ضريبة ولا QR</t>
        </is>
      </c>
      <c r="D29" s="14" t="inlineStr">
        <is>
          <t>الإعدادات: vatRegistered=false</t>
        </is>
      </c>
      <c r="E29" s="14" t="inlineStr">
        <is>
          <t>1. أكمل دفعة أولى لعقد.
2. افتح الفاتورة و PDF.</t>
        </is>
      </c>
      <c r="F29" s="14" t="inlineStr">
        <is>
          <t>الفاتورة بعنوان «فاتورة / Invoice»، vat=0، لا رقم ضريبي، qrPayload=null، zatcaStatus=not_applicable، مع ملاحظة أن البائع غير مسجل في الضريبة؛ الإجمالي = المبلغ المستلم.</t>
        </is>
      </c>
      <c r="G29" s="13" t="inlineStr">
        <is>
          <t>P1</t>
        </is>
      </c>
      <c r="H29" s="14" t="inlineStr">
        <is>
          <t>وظيفي</t>
        </is>
      </c>
      <c r="I29" s="13" t="inlineStr">
        <is>
          <t>لم يُختبر</t>
        </is>
      </c>
      <c r="J29" s="14" t="inlineStr"/>
      <c r="K29" s="13" t="inlineStr"/>
      <c r="L29" s="14" t="inlineStr"/>
    </row>
    <row r="30">
      <c r="A30" s="13" t="inlineStr">
        <is>
          <t>TC-B-029</t>
        </is>
      </c>
      <c r="B30" s="14" t="inlineStr">
        <is>
          <t>الفواتير وZATCA</t>
        </is>
      </c>
      <c r="C30" s="15" t="inlineStr">
        <is>
          <t>لافتة الخلفية الوهمية لا تدّعي التوافق مع ZATCA</t>
        </is>
      </c>
      <c r="D30" s="14" t="inlineStr">
        <is>
          <t>بدون متغيرات ERPNext</t>
        </is>
      </c>
      <c r="E30" s="14" t="inlineStr">
        <is>
          <t>1. افتح GET /finance/backoffice/health ثم صفحة الفواتير.</t>
        </is>
      </c>
      <c r="F30" s="14" t="inlineStr">
        <is>
          <t>kind=fake؛ لا يظهر في أي شاشة أو PDF أن الفاتورة «معتمدة/متوافقة مع ZATCA».</t>
        </is>
      </c>
      <c r="G30" s="13" t="inlineStr">
        <is>
          <t>P1</t>
        </is>
      </c>
      <c r="H30" s="14" t="inlineStr">
        <is>
          <t>واجهة وعرض</t>
        </is>
      </c>
      <c r="I30" s="13" t="inlineStr">
        <is>
          <t>لم يُختبر</t>
        </is>
      </c>
      <c r="J30" s="14" t="inlineStr"/>
      <c r="K30" s="13" t="inlineStr"/>
      <c r="L30" s="14" t="inlineStr"/>
    </row>
    <row r="31">
      <c r="A31" s="13" t="inlineStr">
        <is>
          <t>TC-B-030</t>
        </is>
      </c>
      <c r="B31" s="14" t="inlineStr">
        <is>
          <t>الفواتير وZATCA</t>
        </is>
      </c>
      <c r="C31" s="15" t="inlineStr">
        <is>
          <t>PDF الفاتورة الضريبية بالعربية والأرقام الصحيحة</t>
        </is>
      </c>
      <c r="D31" s="14" t="inlineStr">
        <is>
          <t>فاتورة 388 بخصم وبنود متعددة</t>
        </is>
      </c>
      <c r="E31" s="14" t="inlineStr">
        <is>
          <t>1. افتح GET /finance/invoices/:id/pdf.</t>
        </is>
      </c>
      <c r="F31" s="14" t="inlineStr">
        <is>
          <t>RTL، الإجماليات = مجموع البنود (الإجمالي، الخصم، الخاضع، الضريبة، الإجمالي، المدفوع مقدمًا، المستحق)، المبلغ كتابة (تفقيط) صحيح بالريال والهللات، QR ظاهر عند التسجيل.</t>
        </is>
      </c>
      <c r="G31" s="13" t="inlineStr">
        <is>
          <t>P1</t>
        </is>
      </c>
      <c r="H31" s="14" t="inlineStr">
        <is>
          <t>واجهة وعرض</t>
        </is>
      </c>
      <c r="I31" s="13" t="inlineStr">
        <is>
          <t>لم يُختبر</t>
        </is>
      </c>
      <c r="J31" s="14" t="inlineStr"/>
      <c r="K31" s="13" t="inlineStr"/>
      <c r="L31" s="14" t="inlineStr"/>
    </row>
    <row r="32">
      <c r="A32" s="13" t="inlineStr">
        <is>
          <t>TC-B-031</t>
        </is>
      </c>
      <c r="B32" s="14" t="inlineStr">
        <is>
          <t>الفواتير وZATCA</t>
        </is>
      </c>
      <c r="C32" s="15" t="inlineStr">
        <is>
          <t>توزيع الخصم والضريبة على البنود يجمع الإجمالي بالضبط</t>
        </is>
      </c>
      <c r="D32" s="14" t="inlineStr">
        <is>
          <t>عرض 3 بنود 33.33 مع خصم 10.00</t>
        </is>
      </c>
      <c r="E32" s="14" t="inlineStr">
        <is>
          <t>1. أصدر الفاتورة النهائية.
2. اجمع net و vat للبنود.</t>
        </is>
      </c>
      <c r="F32" s="14" t="inlineStr">
        <is>
          <t>مجموع خصومات البنود = 10.00، مجموع ضريبة البنود = ضريبة المستند، total = taxable + vat بالضبط.</t>
        </is>
      </c>
      <c r="G32" s="13" t="inlineStr">
        <is>
          <t>P1</t>
        </is>
      </c>
      <c r="H32" s="14" t="inlineStr">
        <is>
          <t>حالات حدّية</t>
        </is>
      </c>
      <c r="I32" s="13" t="inlineStr">
        <is>
          <t>لم يُختبر</t>
        </is>
      </c>
      <c r="J32" s="14" t="inlineStr"/>
      <c r="K32" s="13" t="inlineStr"/>
      <c r="L32" s="14" t="inlineStr"/>
    </row>
    <row r="33">
      <c r="A33" s="13" t="inlineStr">
        <is>
          <t>TC-B-032</t>
        </is>
      </c>
      <c r="B33" s="14" t="inlineStr">
        <is>
          <t>الفواتير وZATCA</t>
        </is>
      </c>
      <c r="C33" s="15" t="inlineStr">
        <is>
          <t>نطاق قراءة الفواتير حسب مالك العميل</t>
        </is>
      </c>
      <c r="D33" s="14" t="inlineStr">
        <is>
          <t>invoice.read بنطاق own</t>
        </is>
      </c>
      <c r="E33" s="14" t="inlineStr">
        <is>
          <t>1. افتح الفواتير وأعمار الذمم وكشف حساب عميل زميل.</t>
        </is>
      </c>
      <c r="F33" s="14" t="inlineStr">
        <is>
          <t>تُعرض فواتير عملائه فقط؛ كشف حساب عميل زميل → 403.</t>
        </is>
      </c>
      <c r="G33" s="13" t="inlineStr">
        <is>
          <t>P1</t>
        </is>
      </c>
      <c r="H33" s="14" t="inlineStr">
        <is>
          <t>صلاحيات</t>
        </is>
      </c>
      <c r="I33" s="13" t="inlineStr">
        <is>
          <t>لم يُختبر</t>
        </is>
      </c>
      <c r="J33" s="14" t="inlineStr"/>
      <c r="K33" s="13" t="inlineStr"/>
      <c r="L33" s="14" t="inlineStr"/>
    </row>
    <row r="34">
      <c r="A34" s="13" t="inlineStr">
        <is>
          <t>TC-B-033</t>
        </is>
      </c>
      <c r="B34" s="14" t="inlineStr">
        <is>
          <t>الفواتير وZATCA</t>
        </is>
      </c>
      <c r="C34" s="15" t="inlineStr">
        <is>
          <t>webhook ERPNext بتوقيع خاطئ يُرفض</t>
        </is>
      </c>
      <c r="D34" s="14" t="inlineStr">
        <is>
          <t>—</t>
        </is>
      </c>
      <c r="E34" s="14" t="inlineStr">
        <is>
          <t>1. أرسل POST /webhooks/erpnext بتوقيع x-frappe-webhook-signature خاطئ.</t>
        </is>
      </c>
      <c r="F34" s="14" t="inlineStr">
        <is>
          <t>403 «bad signature» ولا تتغير المرايا.</t>
        </is>
      </c>
      <c r="G34" s="13" t="inlineStr">
        <is>
          <t>P1</t>
        </is>
      </c>
      <c r="H34" s="14" t="inlineStr">
        <is>
          <t>أمان</t>
        </is>
      </c>
      <c r="I34" s="13" t="inlineStr">
        <is>
          <t>لم يُختبر</t>
        </is>
      </c>
      <c r="J34" s="14" t="inlineStr"/>
      <c r="K34" s="13" t="inlineStr"/>
      <c r="L34" s="14" t="inlineStr"/>
    </row>
    <row r="35">
      <c r="A35" s="13" t="inlineStr">
        <is>
          <t>TC-B-034</t>
        </is>
      </c>
      <c r="B35" s="14" t="inlineStr">
        <is>
          <t>الفواتير وZATCA</t>
        </is>
      </c>
      <c r="C35" s="15" t="inlineStr">
        <is>
          <t>منع الفاتورة النهائية لعقد غير موقّع</t>
        </is>
      </c>
      <c r="D35" s="14" t="inlineStr">
        <is>
          <t>عقد draft</t>
        </is>
      </c>
      <c r="E35" s="14" t="inlineStr">
        <is>
          <t>1. استدعِ final-invoice.</t>
        </is>
      </c>
      <c r="F35" s="14" t="inlineStr">
        <is>
          <t>400 «the contract must be signed before invoicing».</t>
        </is>
      </c>
      <c r="G35" s="13" t="inlineStr">
        <is>
          <t>P2</t>
        </is>
      </c>
      <c r="H35" s="14" t="inlineStr">
        <is>
          <t>تحقق من المدخلات</t>
        </is>
      </c>
      <c r="I35" s="13" t="inlineStr">
        <is>
          <t>لم يُختبر</t>
        </is>
      </c>
      <c r="J35" s="14" t="inlineStr"/>
      <c r="K35" s="13" t="inlineStr"/>
      <c r="L35" s="14" t="inlineStr"/>
    </row>
    <row r="36">
      <c r="A36" s="13" t="inlineStr">
        <is>
          <t>TC-B-035</t>
        </is>
      </c>
      <c r="B36" s="14" t="inlineStr">
        <is>
          <t>الفواتير وZATCA</t>
        </is>
      </c>
      <c r="C36" s="15" t="inlineStr">
        <is>
          <t>مقدمات تتجاوز إجمالي الفاتورة النهائية تُرفض</t>
        </is>
      </c>
      <c r="D36" s="14" t="inlineStr">
        <is>
          <t>حالة اختبار: مجموع 386 أكبر من إجمالي العقد بعد أمر تغيير بالتخفيض</t>
        </is>
      </c>
      <c r="E36" s="14" t="inlineStr">
        <is>
          <t>1. أصدر الفاتورة النهائية.</t>
        </is>
      </c>
      <c r="F36" s="14" t="inlineStr">
        <is>
          <t>خطأ «advances exceed the invoice total — issue a credit note instead» دون إصدار.</t>
        </is>
      </c>
      <c r="G36" s="13" t="inlineStr">
        <is>
          <t>P2</t>
        </is>
      </c>
      <c r="H36" s="14" t="inlineStr">
        <is>
          <t>حالات حدّية</t>
        </is>
      </c>
      <c r="I36" s="13" t="inlineStr">
        <is>
          <t>لم يُختبر</t>
        </is>
      </c>
      <c r="J36" s="14" t="inlineStr"/>
      <c r="K36" s="13" t="inlineStr"/>
      <c r="L36" s="14" t="inlineStr"/>
    </row>
    <row r="37">
      <c r="A37" s="13" t="inlineStr">
        <is>
          <t>TC-B-036</t>
        </is>
      </c>
      <c r="B37" s="14" t="inlineStr">
        <is>
          <t>الفواتير وZATCA</t>
        </is>
      </c>
      <c r="C37" s="15" t="inlineStr">
        <is>
          <t>منع إشعار دائن على إشعار دائن</t>
        </is>
      </c>
      <c r="D37" s="14" t="inlineStr">
        <is>
          <t>فاتورة 381 موجودة</t>
        </is>
      </c>
      <c r="E37" s="14" t="inlineStr">
        <is>
          <t>1. حاول إصدار credit-note عليها.</t>
        </is>
      </c>
      <c r="F37" s="14" t="inlineStr">
        <is>
          <t>400 «cannot credit a credit note».</t>
        </is>
      </c>
      <c r="G37" s="13" t="inlineStr">
        <is>
          <t>P2</t>
        </is>
      </c>
      <c r="H37" s="14" t="inlineStr">
        <is>
          <t>حالات حدّية</t>
        </is>
      </c>
      <c r="I37" s="13" t="inlineStr">
        <is>
          <t>لم يُختبر</t>
        </is>
      </c>
      <c r="J37" s="14" t="inlineStr"/>
      <c r="K37" s="13" t="inlineStr"/>
      <c r="L37" s="14" t="inlineStr"/>
    </row>
    <row r="38">
      <c r="A38" s="13" t="inlineStr">
        <is>
          <t>TC-B-037</t>
        </is>
      </c>
      <c r="B38" s="14" t="inlineStr">
        <is>
          <t>الفواتير وZATCA</t>
        </is>
      </c>
      <c r="C38" s="15" t="inlineStr">
        <is>
          <t>تكرار طلب الإشعار الدائن نفسه لا يكرره</t>
        </is>
      </c>
      <c r="D38" s="14" t="inlineStr">
        <is>
          <t>—</t>
        </is>
      </c>
      <c r="E38" s="14" t="inlineStr">
        <is>
          <t>1. أرسل الطلب نفسه (المبلغ والسبب ذاتهما) مرتين بسرعة.</t>
        </is>
      </c>
      <c r="F38" s="14" t="inlineStr">
        <is>
          <t>إشعار واحد فقط (idempotencyKey credit:{id}:{gross}:{reason}).</t>
        </is>
      </c>
      <c r="G38" s="13" t="inlineStr">
        <is>
          <t>P2</t>
        </is>
      </c>
      <c r="H38" s="14" t="inlineStr">
        <is>
          <t>حالات حدّية</t>
        </is>
      </c>
      <c r="I38" s="13" t="inlineStr">
        <is>
          <t>لم يُختبر</t>
        </is>
      </c>
      <c r="J38" s="14" t="inlineStr"/>
      <c r="K38" s="13" t="inlineStr"/>
      <c r="L38" s="14" t="inlineStr"/>
    </row>
    <row r="39">
      <c r="A39" s="13" t="inlineStr">
        <is>
          <t>TC-B-038</t>
        </is>
      </c>
      <c r="B39" s="14" t="inlineStr">
        <is>
          <t>الفواتير وZATCA</t>
        </is>
      </c>
      <c r="C39" s="15" t="inlineStr">
        <is>
          <t>التحويل بين الوضعين لا يغيّر الفواتير المصدرة</t>
        </is>
      </c>
      <c r="D39" s="14" t="inlineStr">
        <is>
          <t>فواتير صادرة في الوضع المسجل</t>
        </is>
      </c>
      <c r="E39" s="14" t="inlineStr">
        <is>
          <t>1. حوّل المنشأة إلى غير مسجلة.
2. افتح الفواتير القديمة.</t>
        </is>
      </c>
      <c r="F39" s="14" t="inlineStr">
        <is>
          <t>الفواتير القديمة تبقى كما هي (ضريبة و QR)؛ الجديدة فقط تتبع الوضع الجديد.</t>
        </is>
      </c>
      <c r="G39" s="13" t="inlineStr">
        <is>
          <t>P2</t>
        </is>
      </c>
      <c r="H39" s="14" t="inlineStr">
        <is>
          <t>حالات حدّية</t>
        </is>
      </c>
      <c r="I39" s="13" t="inlineStr">
        <is>
          <t>لم يُختبر</t>
        </is>
      </c>
      <c r="J39" s="14" t="inlineStr"/>
      <c r="K39" s="13" t="inlineStr"/>
      <c r="L39" s="14" t="inlineStr"/>
    </row>
    <row r="40">
      <c r="A40" s="13" t="inlineStr">
        <is>
          <t>TC-B-039</t>
        </is>
      </c>
      <c r="B40" s="14" t="inlineStr">
        <is>
          <t>الفواتير وZATCA</t>
        </is>
      </c>
      <c r="C40" s="15" t="inlineStr">
        <is>
          <t>التمييز بين B2B و B2C في حالة ZATCA (Fake)</t>
        </is>
      </c>
      <c r="D40" s="14" t="inlineStr">
        <is>
          <t>عميل شركة له رقم ضريبي وآخر فرد</t>
        </is>
      </c>
      <c r="E40" s="14" t="inlineStr">
        <is>
          <t>1. أصدر فاتورة لكل منهما في بيئة التطوير.</t>
        </is>
      </c>
      <c r="F40" s="14" t="inlineStr">
        <is>
          <t>subtype standard/zatcaStatus=cleared للشركة و simplified/reported للفرد؛ الواجهة تبيّن أن الخلفية «fake» وليست متوافقة مع ZATCA.</t>
        </is>
      </c>
      <c r="G40" s="13" t="inlineStr">
        <is>
          <t>P2</t>
        </is>
      </c>
      <c r="H40" s="14" t="inlineStr">
        <is>
          <t>تكامل</t>
        </is>
      </c>
      <c r="I40" s="13" t="inlineStr">
        <is>
          <t>لم يُختبر</t>
        </is>
      </c>
      <c r="J40" s="14" t="inlineStr"/>
      <c r="K40" s="13" t="inlineStr"/>
      <c r="L40" s="14" t="inlineStr"/>
    </row>
    <row r="41">
      <c r="A41" s="13" t="inlineStr">
        <is>
          <t>TC-B-040</t>
        </is>
      </c>
      <c r="B41" s="14" t="inlineStr">
        <is>
          <t>الفواتير وZATCA</t>
        </is>
      </c>
      <c r="C41" s="15" t="inlineStr">
        <is>
          <t>المزامنة مع الخلفية تكشف الانحراف</t>
        </is>
      </c>
      <c r="D41" s="14" t="inlineStr">
        <is>
          <t>فاتورة معدّلة يدويًا في الخلفية (إجمالي مختلف) وأخرى محذوفة</t>
        </is>
      </c>
      <c r="E41" s="14" t="inlineStr">
        <is>
          <t>1. اضغط «مزامنة» (POST /finance/sync).</t>
        </is>
      </c>
      <c r="F41" s="14" t="inlineStr">
        <is>
          <t>checked/updated صحيحة، drift يتضمن «total … ≠ …» و«missing in back office»؛ يُسجَّل تشغيل في sync_reconciliation_run بحالة drift.</t>
        </is>
      </c>
      <c r="G41" s="13" t="inlineStr">
        <is>
          <t>P2</t>
        </is>
      </c>
      <c r="H41" s="14" t="inlineStr">
        <is>
          <t>تكامل</t>
        </is>
      </c>
      <c r="I41" s="13" t="inlineStr">
        <is>
          <t>لم يُختبر</t>
        </is>
      </c>
      <c r="J41" s="14" t="inlineStr"/>
      <c r="K41" s="13" t="inlineStr"/>
      <c r="L41" s="14" t="inlineStr"/>
    </row>
    <row r="42">
      <c r="A42" s="13" t="inlineStr">
        <is>
          <t>TC-B-041</t>
        </is>
      </c>
      <c r="B42" s="14" t="inlineStr">
        <is>
          <t>الفواتير وZATCA</t>
        </is>
      </c>
      <c r="C42" s="15" t="inlineStr">
        <is>
          <t>تفقيط مبالغ حدّية</t>
        </is>
      </c>
      <c r="D42" s="14" t="inlineStr">
        <is>
          <t>—</t>
        </is>
      </c>
      <c r="E42" s="14" t="inlineStr">
        <is>
          <t>1. اعرض PDF لمبالغ 0.01 و 1,000,000.00 و 1,234.50.</t>
        </is>
      </c>
      <c r="F42" s="14" t="inlineStr">
        <is>
          <t>نص عربي صحيح للريالات والهللات دون أخطاء نحوية ظاهرة أو «صفر» زائد.</t>
        </is>
      </c>
      <c r="G42" s="13" t="inlineStr">
        <is>
          <t>P3</t>
        </is>
      </c>
      <c r="H42" s="14" t="inlineStr">
        <is>
          <t>حالات حدّية</t>
        </is>
      </c>
      <c r="I42" s="13" t="inlineStr">
        <is>
          <t>لم يُختبر</t>
        </is>
      </c>
      <c r="J42" s="14" t="inlineStr"/>
      <c r="K42" s="13" t="inlineStr"/>
      <c r="L42" s="14" t="inlineStr"/>
    </row>
    <row r="43">
      <c r="A43" s="13" t="inlineStr">
        <is>
          <t>TC-B-042</t>
        </is>
      </c>
      <c r="B43" s="14" t="inlineStr">
        <is>
          <t>الفواتير وZATCA</t>
        </is>
      </c>
      <c r="C43" s="15" t="inlineStr">
        <is>
          <t>فلترة الفواتير حسب النوع وغير المدفوعة</t>
        </is>
      </c>
      <c r="D43" s="14" t="inlineStr">
        <is>
          <t>فواتير 386/388/381</t>
        </is>
      </c>
      <c r="E43" s="14" t="inlineStr">
        <is>
          <t>1. فلتر typeCode=388,381 ثم unpaid=true.</t>
        </is>
      </c>
      <c r="F43" s="14" t="inlineStr">
        <is>
          <t>النتائج تطابق الفلتر؛ unpaid تعرض balanceDue&gt;0 فقط.</t>
        </is>
      </c>
      <c r="G43" s="13" t="inlineStr">
        <is>
          <t>P3</t>
        </is>
      </c>
      <c r="H43" s="14" t="inlineStr">
        <is>
          <t>وظيفي</t>
        </is>
      </c>
      <c r="I43" s="13" t="inlineStr">
        <is>
          <t>لم يُختبر</t>
        </is>
      </c>
      <c r="J43" s="14" t="inlineStr"/>
      <c r="K43" s="13" t="inlineStr"/>
      <c r="L43" s="14" t="inlineStr"/>
    </row>
    <row r="44">
      <c r="A44" s="13" t="inlineStr">
        <is>
          <t>TC-B-043</t>
        </is>
      </c>
      <c r="B44" s="14" t="inlineStr">
        <is>
          <t>التحصيل وبوابة الدفع العامة</t>
        </is>
      </c>
      <c r="C44" s="15" t="inlineStr">
        <is>
          <t>تسجيل دفعة يدوية جزئية</t>
        </is>
      </c>
      <c r="D44" s="14" t="inlineStr">
        <is>
          <t>طلب sent بمبلغ 5,000.00؛ مستخدم payment.record</t>
        </is>
      </c>
      <c r="E44" s="14" t="inlineStr">
        <is>
          <t>1. سجّل دفعة 2,000.00 بطريقة bank_transfer ومرجع TRX-1 وتاريخ اليوم.</t>
        </is>
      </c>
      <c r="F44" s="14" t="inlineStr">
        <is>
          <t>paidAmount=2,000.00 وحالة الطلب والدفعة partially_paid؛ تصدر 386 بمبلغ 2,000.00؛ تُنشأ مرآة دفعة؛ سجل تدقيق payment.</t>
        </is>
      </c>
      <c r="G44" s="13" t="inlineStr">
        <is>
          <t>P1</t>
        </is>
      </c>
      <c r="H44" s="14" t="inlineStr">
        <is>
          <t>وظيفي</t>
        </is>
      </c>
      <c r="I44" s="13" t="inlineStr">
        <is>
          <t>لم يُختبر</t>
        </is>
      </c>
      <c r="J44" s="14" t="inlineStr"/>
      <c r="K44" s="13" t="inlineStr"/>
      <c r="L44" s="14" t="inlineStr"/>
    </row>
    <row r="45">
      <c r="A45" s="13" t="inlineStr">
        <is>
          <t>TC-B-044</t>
        </is>
      </c>
      <c r="B45" s="14" t="inlineStr">
        <is>
          <t>التحصيل وبوابة الدفع العامة</t>
        </is>
      </c>
      <c r="C45" s="15" t="inlineStr">
        <is>
          <t>إكمال الدفعة يحوّل العقد إلى نشط</t>
        </is>
      </c>
      <c r="D45" s="14" t="inlineStr">
        <is>
          <t>عقد signed والطلب للدفعة الأولى partially_paid</t>
        </is>
      </c>
      <c r="E45" s="14" t="inlineStr">
        <is>
          <t>1. سجّل باقي المبلغ.</t>
        </is>
      </c>
      <c r="F45" s="14" t="inlineStr">
        <is>
          <t>الطلب والدفعة paid؛ العقد يتحول إلى active ويُضبط startDate اليوم.</t>
        </is>
      </c>
      <c r="G45" s="13" t="inlineStr">
        <is>
          <t>P1</t>
        </is>
      </c>
      <c r="H45" s="14" t="inlineStr">
        <is>
          <t>تكامل</t>
        </is>
      </c>
      <c r="I45" s="13" t="inlineStr">
        <is>
          <t>لم يُختبر</t>
        </is>
      </c>
      <c r="J45" s="14" t="inlineStr"/>
      <c r="K45" s="13" t="inlineStr"/>
      <c r="L45" s="14" t="inlineStr"/>
    </row>
    <row r="46">
      <c r="A46" s="13" t="inlineStr">
        <is>
          <t>TC-B-045</t>
        </is>
      </c>
      <c r="B46" s="14" t="inlineStr">
        <is>
          <t>التحصيل وبوابة الدفع العامة</t>
        </is>
      </c>
      <c r="C46" s="15" t="inlineStr">
        <is>
          <t>منع الدفع الزائد</t>
        </is>
      </c>
      <c r="D46" s="14" t="inlineStr">
        <is>
          <t>طلب متبقٍ عليه 3,000.00</t>
        </is>
      </c>
      <c r="E46" s="14" t="inlineStr">
        <is>
          <t>1. سجّل 3,000.01.</t>
        </is>
      </c>
      <c r="F46" s="14" t="inlineStr">
        <is>
          <t>400 «amount exceeds the remaining 3000.00» دون أي أثر.</t>
        </is>
      </c>
      <c r="G46" s="13" t="inlineStr">
        <is>
          <t>P1</t>
        </is>
      </c>
      <c r="H46" s="14" t="inlineStr">
        <is>
          <t>حالات حدّية</t>
        </is>
      </c>
      <c r="I46" s="13" t="inlineStr">
        <is>
          <t>لم يُختبر</t>
        </is>
      </c>
      <c r="J46" s="14" t="inlineStr"/>
      <c r="K46" s="13" t="inlineStr"/>
      <c r="L46" s="14" t="inlineStr"/>
    </row>
    <row r="47">
      <c r="A47" s="13" t="inlineStr">
        <is>
          <t>TC-B-046</t>
        </is>
      </c>
      <c r="B47" s="14" t="inlineStr">
        <is>
          <t>التحصيل وبوابة الدفع العامة</t>
        </is>
      </c>
      <c r="C47" s="15" t="inlineStr">
        <is>
          <t>منع المبلغ الصفري أو السالب</t>
        </is>
      </c>
      <c r="D47" s="14" t="inlineStr">
        <is>
          <t>طلب sent</t>
        </is>
      </c>
      <c r="E47" s="14" t="inlineStr">
        <is>
          <t>1. سجّل 0 ثم -10.</t>
        </is>
      </c>
      <c r="F47" s="14" t="inlineStr">
        <is>
          <t>400 لكلٍ منهما (amount must be positive / تحقق zMoney).</t>
        </is>
      </c>
      <c r="G47" s="13" t="inlineStr">
        <is>
          <t>P1</t>
        </is>
      </c>
      <c r="H47" s="14" t="inlineStr">
        <is>
          <t>تحقق من المدخلات</t>
        </is>
      </c>
      <c r="I47" s="13" t="inlineStr">
        <is>
          <t>لم يُختبر</t>
        </is>
      </c>
      <c r="J47" s="14" t="inlineStr"/>
      <c r="K47" s="13" t="inlineStr"/>
      <c r="L47" s="14" t="inlineStr"/>
    </row>
    <row r="48">
      <c r="A48" s="13" t="inlineStr">
        <is>
          <t>TC-B-047</t>
        </is>
      </c>
      <c r="B48" s="14" t="inlineStr">
        <is>
          <t>التحصيل وبوابة الدفع العامة</t>
        </is>
      </c>
      <c r="C48" s="15" t="inlineStr">
        <is>
          <t>تكرار تسجيل الدفعة بنفس المرجع لا يحتسب مرتين</t>
        </is>
      </c>
      <c r="D48" s="14" t="inlineStr">
        <is>
          <t>دفعة سُجّلت بمرجع TRX-9</t>
        </is>
      </c>
      <c r="E48" s="14" t="inlineStr">
        <is>
          <t>1. أعد إرسال الطلب نفسه بالمرجع TRX-9.</t>
        </is>
      </c>
      <c r="F48" s="14" t="inlineStr">
        <is>
          <t>تعود duplicate=true ولا يتغير paidAmount ولا تصدر فاتورة جديدة.</t>
        </is>
      </c>
      <c r="G48" s="13" t="inlineStr">
        <is>
          <t>P1</t>
        </is>
      </c>
      <c r="H48" s="14" t="inlineStr">
        <is>
          <t>حالات حدّية</t>
        </is>
      </c>
      <c r="I48" s="13" t="inlineStr">
        <is>
          <t>لم يُختبر</t>
        </is>
      </c>
      <c r="J48" s="14" t="inlineStr"/>
      <c r="K48" s="13" t="inlineStr"/>
      <c r="L48" s="14" t="inlineStr"/>
    </row>
    <row r="49">
      <c r="A49" s="13" t="inlineStr">
        <is>
          <t>TC-B-048</t>
        </is>
      </c>
      <c r="B49" s="14" t="inlineStr">
        <is>
          <t>التحصيل وبوابة الدفع العامة</t>
        </is>
      </c>
      <c r="C49" s="15" t="inlineStr">
        <is>
          <t>صفحة الدفع العامة /p/[token] بدون تسجيل دخول</t>
        </is>
      </c>
      <c r="D49" s="14" t="inlineStr">
        <is>
          <t>طلب sent له publicToken</t>
        </is>
      </c>
      <c r="E49" s="14" t="inlineStr">
        <is>
          <t>1. افتح /p/{token} في نافذة خاصة.</t>
        </is>
      </c>
      <c r="F49" s="14" t="inlineStr">
        <is>
          <t>تظهر بيانات الشركة والبنك والآيبان، رقم الطلب، المبلغ والمدفوع والمتبقي، اسم العميل ورقم العقد واسم الدفعة؛ زر الدفع ظاهر (canPayOnline)؛ لا تظهر أي تكلفة أو هامش.</t>
        </is>
      </c>
      <c r="G49" s="13" t="inlineStr">
        <is>
          <t>P1</t>
        </is>
      </c>
      <c r="H49" s="14" t="inlineStr">
        <is>
          <t>واجهة وعرض</t>
        </is>
      </c>
      <c r="I49" s="13" t="inlineStr">
        <is>
          <t>لم يُختبر</t>
        </is>
      </c>
      <c r="J49" s="14" t="inlineStr"/>
      <c r="K49" s="13" t="inlineStr"/>
      <c r="L49" s="14" t="inlineStr"/>
    </row>
    <row r="50">
      <c r="A50" s="13" t="inlineStr">
        <is>
          <t>TC-B-049</t>
        </is>
      </c>
      <c r="B50" s="14" t="inlineStr">
        <is>
          <t>التحصيل وبوابة الدفع العامة</t>
        </is>
      </c>
      <c r="C50" s="15" t="inlineStr">
        <is>
          <t>الرمز غير الصالح أو المخمَّن يعيد 404</t>
        </is>
      </c>
      <c r="D50" s="14" t="inlineStr">
        <is>
          <t>—</t>
        </is>
      </c>
      <c r="E50" s="14" t="inlineStr">
        <is>
          <t>1. افتح /p/abc و /p/ برمز 20 حرفًا عشوائيًا و برمز فيه رموز خاصة.</t>
        </is>
      </c>
      <c r="F50" s="14" t="inlineStr">
        <is>
          <t>404 «link» في جميع الحالات دون كشف أي معلومة.</t>
        </is>
      </c>
      <c r="G50" s="13" t="inlineStr">
        <is>
          <t>P1</t>
        </is>
      </c>
      <c r="H50" s="14" t="inlineStr">
        <is>
          <t>أمان</t>
        </is>
      </c>
      <c r="I50" s="13" t="inlineStr">
        <is>
          <t>لم يُختبر</t>
        </is>
      </c>
      <c r="J50" s="14" t="inlineStr"/>
      <c r="K50" s="13" t="inlineStr"/>
      <c r="L50" s="14" t="inlineStr"/>
    </row>
    <row r="51">
      <c r="A51" s="13" t="inlineStr">
        <is>
          <t>TC-B-050</t>
        </is>
      </c>
      <c r="B51" s="14" t="inlineStr">
        <is>
          <t>التحصيل وبوابة الدفع العامة</t>
        </is>
      </c>
      <c r="C51" s="15" t="inlineStr">
        <is>
          <t>الدفع التجريبي من الصفحة العامة</t>
        </is>
      </c>
      <c r="D51" s="14" t="inlineStr">
        <is>
          <t>ALLOW_SANDBOX مفعّل ومزود الدفع sandbox</t>
        </is>
      </c>
      <c r="E51" s="14" t="inlineStr">
        <is>
          <t>1. اضغط «دفع تجريبي» (POST /public/pay/:token/sandbox).
2. حدّث الصفحة.</t>
        </is>
      </c>
      <c r="F51" s="14" t="inlineStr">
        <is>
          <t>يُرسل webhook موقّع بالمبلغ المتبقي بطريقة mada؛ الطلب paid وتصدر الفاتورة وتظهر في قائمة invoices بالصفحة.</t>
        </is>
      </c>
      <c r="G51" s="13" t="inlineStr">
        <is>
          <t>P1</t>
        </is>
      </c>
      <c r="H51" s="14" t="inlineStr">
        <is>
          <t>تكامل</t>
        </is>
      </c>
      <c r="I51" s="13" t="inlineStr">
        <is>
          <t>لم يُختبر</t>
        </is>
      </c>
      <c r="J51" s="14" t="inlineStr"/>
      <c r="K51" s="13" t="inlineStr"/>
      <c r="L51" s="14" t="inlineStr"/>
    </row>
    <row r="52">
      <c r="A52" s="13" t="inlineStr">
        <is>
          <t>TC-B-051</t>
        </is>
      </c>
      <c r="B52" s="14" t="inlineStr">
        <is>
          <t>التحصيل وبوابة الدفع العامة</t>
        </is>
      </c>
      <c r="C52" s="15" t="inlineStr">
        <is>
          <t>الدفع التجريبي معطّل في الإنتاج</t>
        </is>
      </c>
      <c r="D52" s="14" t="inlineStr">
        <is>
          <t>allowSandbox=false أو مزود حقيقي</t>
        </is>
      </c>
      <c r="E52" s="14" t="inlineStr">
        <is>
          <t>1. استدعِ POST /public/pay/:token/sandbox.</t>
        </is>
      </c>
      <c r="F52" s="14" t="inlineStr">
        <is>
          <t>403 «sandbox payments are disabled»؛ زر الدفع التجريبي لا يظهر.</t>
        </is>
      </c>
      <c r="G52" s="13" t="inlineStr">
        <is>
          <t>P1</t>
        </is>
      </c>
      <c r="H52" s="14" t="inlineStr">
        <is>
          <t>أمان</t>
        </is>
      </c>
      <c r="I52" s="13" t="inlineStr">
        <is>
          <t>لم يُختبر</t>
        </is>
      </c>
      <c r="J52" s="14" t="inlineStr"/>
      <c r="K52" s="13" t="inlineStr"/>
      <c r="L52" s="14" t="inlineStr"/>
    </row>
    <row r="53">
      <c r="A53" s="13" t="inlineStr">
        <is>
          <t>TC-B-052</t>
        </is>
      </c>
      <c r="B53" s="14" t="inlineStr">
        <is>
          <t>التحصيل وبوابة الدفع العامة</t>
        </is>
      </c>
      <c r="C53" s="15" t="inlineStr">
        <is>
          <t>webhook بوابة الدفع بتوقيع خاطئ أو مفقود</t>
        </is>
      </c>
      <c r="D53" s="14" t="inlineStr">
        <is>
          <t>—</t>
        </is>
      </c>
      <c r="E53" s="14" t="inlineStr">
        <is>
          <t>1. أرسل POST /webhooks/payments بلا x-signature ثم بتوقيع خاطئ.</t>
        </is>
      </c>
      <c r="F53" s="14" t="inlineStr">
        <is>
          <t>403 «bad signature» في الحالتين.</t>
        </is>
      </c>
      <c r="G53" s="13" t="inlineStr">
        <is>
          <t>P1</t>
        </is>
      </c>
      <c r="H53" s="14" t="inlineStr">
        <is>
          <t>أمان</t>
        </is>
      </c>
      <c r="I53" s="13" t="inlineStr">
        <is>
          <t>لم يُختبر</t>
        </is>
      </c>
      <c r="J53" s="14" t="inlineStr"/>
      <c r="K53" s="13" t="inlineStr"/>
      <c r="L53" s="14" t="inlineStr"/>
    </row>
    <row r="54">
      <c r="A54" s="13" t="inlineStr">
        <is>
          <t>TC-B-053</t>
        </is>
      </c>
      <c r="B54" s="14" t="inlineStr">
        <is>
          <t>التحصيل وبوابة الدفع العامة</t>
        </is>
      </c>
      <c r="C54" s="15" t="inlineStr">
        <is>
          <t>تكرار webhook الدفع بنفس id لا يكرر الدفعة</t>
        </is>
      </c>
      <c r="D54" s="14" t="inlineStr">
        <is>
          <t>webhook صالح وُصل سابقًا</t>
        </is>
      </c>
      <c r="E54" s="14" t="inlineStr">
        <is>
          <t>1. أعد إرسال الحدث نفسه (نفس id).</t>
        </is>
      </c>
      <c r="F54" s="14" t="inlineStr">
        <is>
          <t>{ok:true, duplicate:true} دون أي تغيير.</t>
        </is>
      </c>
      <c r="G54" s="13" t="inlineStr">
        <is>
          <t>P1</t>
        </is>
      </c>
      <c r="H54" s="14" t="inlineStr">
        <is>
          <t>حالات حدّية</t>
        </is>
      </c>
      <c r="I54" s="13" t="inlineStr">
        <is>
          <t>لم يُختبر</t>
        </is>
      </c>
      <c r="J54" s="14" t="inlineStr"/>
      <c r="K54" s="13" t="inlineStr"/>
      <c r="L54" s="14" t="inlineStr"/>
    </row>
    <row r="55">
      <c r="A55" s="13" t="inlineStr">
        <is>
          <t>TC-B-054</t>
        </is>
      </c>
      <c r="B55" s="14" t="inlineStr">
        <is>
          <t>التحصيل وبوابة الدفع العامة</t>
        </is>
      </c>
      <c r="C55" s="15" t="inlineStr">
        <is>
          <t>كشف حساب العميل برصيد جارٍ</t>
        </is>
      </c>
      <c r="D55" s="14" t="inlineStr">
        <is>
          <t>عميل له 386 و 388 و 381 ودفعات</t>
        </is>
      </c>
      <c r="E55" s="14" t="inlineStr">
        <is>
          <t>1. افتح المالية ← كشف الحساب (GET /finance/statement/:partyId).</t>
        </is>
      </c>
      <c r="F55" s="14" t="inlineStr">
        <is>
          <t>القيود مرتبة بالتاريخ؛ المدين للفاتورة = total − prepaid، الإشعار الدائن دائن، الدفعات دائنة؛ الرصيد النهائي = مجموع balanceDue في الفواتير.</t>
        </is>
      </c>
      <c r="G55" s="13" t="inlineStr">
        <is>
          <t>P1</t>
        </is>
      </c>
      <c r="H55" s="14" t="inlineStr">
        <is>
          <t>وظيفي</t>
        </is>
      </c>
      <c r="I55" s="13" t="inlineStr">
        <is>
          <t>لم يُختبر</t>
        </is>
      </c>
      <c r="J55" s="14" t="inlineStr"/>
      <c r="K55" s="13" t="inlineStr"/>
      <c r="L55" s="14" t="inlineStr"/>
    </row>
    <row r="56">
      <c r="A56" s="13" t="inlineStr">
        <is>
          <t>TC-B-055</t>
        </is>
      </c>
      <c r="B56" s="14" t="inlineStr">
        <is>
          <t>التحصيل وبوابة الدفع العامة</t>
        </is>
      </c>
      <c r="C56" s="15" t="inlineStr">
        <is>
          <t>أعمار الذمم حسب الشرائح</t>
        </is>
      </c>
      <c r="D56" s="14" t="inlineStr">
        <is>
          <t>فواتير غير مدفوعة مستحقة: اليوم، قبل 30، قبل 31، قبل 61، قبل 91 يومًا</t>
        </is>
      </c>
      <c r="E56" s="14" t="inlineStr">
        <is>
          <t>1. افتح المالية ← أعمار الذمم.</t>
        </is>
      </c>
      <c r="F56" s="14" t="inlineStr">
        <is>
          <t>الشرائح: current (≤0)، 1_30 (اليوم 30 فيها)، 31_60، 61_90، 90_plus؛ إجمالي كل عميل = مجموع شرائحه؛ الصف الإجمالي = مجموع العملاء.</t>
        </is>
      </c>
      <c r="G56" s="13" t="inlineStr">
        <is>
          <t>P1</t>
        </is>
      </c>
      <c r="H56" s="14" t="inlineStr">
        <is>
          <t>حالات حدّية</t>
        </is>
      </c>
      <c r="I56" s="13" t="inlineStr">
        <is>
          <t>لم يُختبر</t>
        </is>
      </c>
      <c r="J56" s="14" t="inlineStr"/>
      <c r="K56" s="13" t="inlineStr"/>
      <c r="L56" s="14" t="inlineStr"/>
    </row>
    <row r="57">
      <c r="A57" s="13" t="inlineStr">
        <is>
          <t>TC-B-056</t>
        </is>
      </c>
      <c r="B57" s="14" t="inlineStr">
        <is>
          <t>التحصيل وبوابة الدفع العامة</t>
        </is>
      </c>
      <c r="C57" s="15" t="inlineStr">
        <is>
          <t>تطابق الأرقام بين الفواتير وكشف الحساب وأعمار الذمم</t>
        </is>
      </c>
      <c r="D57" s="14" t="inlineStr">
        <is>
          <t>بيانات اختبار كاملة لعميل</t>
        </is>
      </c>
      <c r="E57" s="14" t="inlineStr">
        <is>
          <t>1. قارن مجموع balanceDue في الفواتير مع رصيد كشف الحساب ومجموع العميل في أعمار الذمم.</t>
        </is>
      </c>
      <c r="F57" s="14" t="inlineStr">
        <is>
          <t>الأرقام الثلاثة متطابقة حتى الهللة.</t>
        </is>
      </c>
      <c r="G57" s="13" t="inlineStr">
        <is>
          <t>P1</t>
        </is>
      </c>
      <c r="H57" s="14" t="inlineStr">
        <is>
          <t>تكامل</t>
        </is>
      </c>
      <c r="I57" s="13" t="inlineStr">
        <is>
          <t>لم يُختبر</t>
        </is>
      </c>
      <c r="J57" s="14" t="inlineStr"/>
      <c r="K57" s="13" t="inlineStr"/>
      <c r="L57" s="14" t="inlineStr"/>
    </row>
    <row r="58">
      <c r="A58" s="13" t="inlineStr">
        <is>
          <t>TC-B-057</t>
        </is>
      </c>
      <c r="B58" s="14" t="inlineStr">
        <is>
          <t>التحصيل وبوابة الدفع العامة</t>
        </is>
      </c>
      <c r="C58" s="15" t="inlineStr">
        <is>
          <t>منع الدفع على طلب مدفوع أو ملغى</t>
        </is>
      </c>
      <c r="D58" s="14" t="inlineStr">
        <is>
          <t>طلب paid وآخر cancelled</t>
        </is>
      </c>
      <c r="E58" s="14" t="inlineStr">
        <is>
          <t>1. سجّل دفعة لكلٍ منهما.</t>
        </is>
      </c>
      <c r="F58" s="14" t="inlineStr">
        <is>
          <t>400 «payment request is paid/cancelled».</t>
        </is>
      </c>
      <c r="G58" s="13" t="inlineStr">
        <is>
          <t>P2</t>
        </is>
      </c>
      <c r="H58" s="14" t="inlineStr">
        <is>
          <t>حالات حدّية</t>
        </is>
      </c>
      <c r="I58" s="13" t="inlineStr">
        <is>
          <t>لم يُختبر</t>
        </is>
      </c>
      <c r="J58" s="14" t="inlineStr"/>
      <c r="K58" s="13" t="inlineStr"/>
      <c r="L58" s="14" t="inlineStr"/>
    </row>
    <row r="59">
      <c r="A59" s="13" t="inlineStr">
        <is>
          <t>TC-B-058</t>
        </is>
      </c>
      <c r="B59" s="14" t="inlineStr">
        <is>
          <t>التحصيل وبوابة الدفع العامة</t>
        </is>
      </c>
      <c r="C59" s="15" t="inlineStr">
        <is>
          <t>webhook بحالة غير paid يُتجاهل</t>
        </is>
      </c>
      <c r="D59" s="14" t="inlineStr">
        <is>
          <t>—</t>
        </is>
      </c>
      <c r="E59" s="14" t="inlineStr">
        <is>
          <t>1. أرسل حدثًا موقّعًا status=failed.</t>
        </is>
      </c>
      <c r="F59" s="14" t="inlineStr">
        <is>
          <t>{ok:true, ignored:"failed"} دون تسجيل دفعة.</t>
        </is>
      </c>
      <c r="G59" s="13" t="inlineStr">
        <is>
          <t>P2</t>
        </is>
      </c>
      <c r="H59" s="14" t="inlineStr">
        <is>
          <t>حالات حدّية</t>
        </is>
      </c>
      <c r="I59" s="13" t="inlineStr">
        <is>
          <t>لم يُختبر</t>
        </is>
      </c>
      <c r="J59" s="14" t="inlineStr"/>
      <c r="K59" s="13" t="inlineStr"/>
      <c r="L59" s="14" t="inlineStr"/>
    </row>
    <row r="60">
      <c r="A60" s="13" t="inlineStr">
        <is>
          <t>TC-B-059</t>
        </is>
      </c>
      <c r="B60" s="14" t="inlineStr">
        <is>
          <t>التحصيل وبوابة الدفع العامة</t>
        </is>
      </c>
      <c r="C60" s="15" t="inlineStr">
        <is>
          <t>صفحة الدفع لطلب مدفوع</t>
        </is>
      </c>
      <c r="D60" s="14" t="inlineStr">
        <is>
          <t>طلب paid</t>
        </is>
      </c>
      <c r="E60" s="14" t="inlineStr">
        <is>
          <t>1. افتح /p/{token}.</t>
        </is>
      </c>
      <c r="F60" s="14" t="inlineStr">
        <is>
          <t>الحالة «مدفوع»، لا زر دفع، وتظهر الفواتير المرتبطة.</t>
        </is>
      </c>
      <c r="G60" s="13" t="inlineStr">
        <is>
          <t>P2</t>
        </is>
      </c>
      <c r="H60" s="14" t="inlineStr">
        <is>
          <t>واجهة وعرض</t>
        </is>
      </c>
      <c r="I60" s="13" t="inlineStr">
        <is>
          <t>لم يُختبر</t>
        </is>
      </c>
      <c r="J60" s="14" t="inlineStr"/>
      <c r="K60" s="13" t="inlineStr"/>
      <c r="L60" s="14" t="inlineStr"/>
    </row>
    <row r="61">
      <c r="A61" s="13" t="inlineStr">
        <is>
          <t>TC-B-060</t>
        </is>
      </c>
      <c r="B61" s="14" t="inlineStr">
        <is>
          <t>التحصيل وبوابة الدفع العامة</t>
        </is>
      </c>
      <c r="C61" s="15" t="inlineStr">
        <is>
          <t>طرق الدفع المسموح بها فقط</t>
        </is>
      </c>
      <c r="D61" s="14" t="inlineStr">
        <is>
          <t>—</t>
        </is>
      </c>
      <c r="E61" s="14" t="inlineStr">
        <is>
          <t>1. سجّل دفعة بطريقة "bitcoin".</t>
        </is>
      </c>
      <c r="F61" s="14" t="inlineStr">
        <is>
          <t>400 تحقق (المسموح: bank_transfer, mada, credit_card, apple_pay, stc_pay, cash, cheque, payment_link).</t>
        </is>
      </c>
      <c r="G61" s="13" t="inlineStr">
        <is>
          <t>P3</t>
        </is>
      </c>
      <c r="H61" s="14" t="inlineStr">
        <is>
          <t>تحقق من المدخلات</t>
        </is>
      </c>
      <c r="I61" s="13" t="inlineStr">
        <is>
          <t>لم يُختبر</t>
        </is>
      </c>
      <c r="J61" s="14" t="inlineStr"/>
      <c r="K61" s="13" t="inlineStr"/>
      <c r="L61" s="14" t="inlineStr"/>
    </row>
    <row r="62">
      <c r="A62" s="13" t="inlineStr">
        <is>
          <t>TC-B-061</t>
        </is>
      </c>
      <c r="B62" s="14" t="inlineStr">
        <is>
          <t>التحصيل وبوابة الدفع العامة</t>
        </is>
      </c>
      <c r="C62" s="15" t="inlineStr">
        <is>
          <t>webhook يشير إلى رقم طلب غير موجود</t>
        </is>
      </c>
      <c r="D62" s="14" t="inlineStr">
        <is>
          <t>—</t>
        </is>
      </c>
      <c r="E62" s="14" t="inlineStr">
        <is>
          <t>1. أرسل حدثًا موقّعًا reference=MMC-PR-99999.</t>
        </is>
      </c>
      <c r="F62" s="14" t="inlineStr">
        <is>
          <t>404 ولا يُسجَّل شيء.</t>
        </is>
      </c>
      <c r="G62" s="13" t="inlineStr">
        <is>
          <t>P3</t>
        </is>
      </c>
      <c r="H62" s="14" t="inlineStr">
        <is>
          <t>حالات حدّية</t>
        </is>
      </c>
      <c r="I62" s="13" t="inlineStr">
        <is>
          <t>لم يُختبر</t>
        </is>
      </c>
      <c r="J62" s="14" t="inlineStr"/>
      <c r="K62" s="13" t="inlineStr"/>
      <c r="L62" s="14" t="inlineStr"/>
    </row>
    <row r="63">
      <c r="A63" s="13" t="inlineStr">
        <is>
          <t>TC-B-062</t>
        </is>
      </c>
      <c r="B63" s="14" t="inlineStr">
        <is>
          <t>التحصيل وبوابة الدفع العامة</t>
        </is>
      </c>
      <c r="C63" s="15" t="inlineStr">
        <is>
          <t>PDF طلب الدفع من الصفحة العامة</t>
        </is>
      </c>
      <c r="D63" s="14" t="inlineStr">
        <is>
          <t>—</t>
        </is>
      </c>
      <c r="E63" s="14" t="inlineStr">
        <is>
          <t>1. افتح /public/pay/{token}/pdf.</t>
        </is>
      </c>
      <c r="F63" s="14" t="inlineStr">
        <is>
          <t>PDF مطابق لنسخة الموظفين، inline باسم الرقم.</t>
        </is>
      </c>
      <c r="G63" s="13" t="inlineStr">
        <is>
          <t>P3</t>
        </is>
      </c>
      <c r="H63" s="14" t="inlineStr">
        <is>
          <t>واجهة وعرض</t>
        </is>
      </c>
      <c r="I63" s="13" t="inlineStr">
        <is>
          <t>لم يُختبر</t>
        </is>
      </c>
      <c r="J63" s="14" t="inlineStr"/>
      <c r="K63" s="13" t="inlineStr"/>
      <c r="L63" s="14" t="inlineStr"/>
    </row>
    <row r="64">
      <c r="A64" s="13" t="inlineStr">
        <is>
          <t>TC-B-063</t>
        </is>
      </c>
      <c r="B64" s="14" t="inlineStr">
        <is>
          <t>سندات القبض والصرف</t>
        </is>
      </c>
      <c r="C64" s="15" t="inlineStr">
        <is>
          <t>إنشاء سند صرف مسودة</t>
        </is>
      </c>
      <c r="D64" s="14" t="inlineStr">
        <is>
          <t>مستخدم voucher.write</t>
        </is>
      </c>
      <c r="E64" s="14" t="inlineStr">
        <is>
          <t>1. المالية ← السندات ← جديد: kind=payment، التاريخ اليوم، المستفيد «مؤسسة النقل»، المبلغ 1,250.50، الغرض «أجرة نقل»، الطريقة cash.
2. احفظ.</t>
        </is>
      </c>
      <c r="F64" s="14" t="inlineStr">
        <is>
          <t>سند برقم PV-xxxxx بحالة draft، المبلغ مخزن 1250.50، createdBy = المستخدم، سجل تدقيق create.</t>
        </is>
      </c>
      <c r="G64" s="13" t="inlineStr">
        <is>
          <t>P1</t>
        </is>
      </c>
      <c r="H64" s="14" t="inlineStr">
        <is>
          <t>وظيفي</t>
        </is>
      </c>
      <c r="I64" s="13" t="inlineStr">
        <is>
          <t>لم يُختبر</t>
        </is>
      </c>
      <c r="J64" s="14" t="inlineStr"/>
      <c r="K64" s="13" t="inlineStr"/>
      <c r="L64" s="14" t="inlineStr"/>
    </row>
    <row r="65">
      <c r="A65" s="13" t="inlineStr">
        <is>
          <t>TC-B-064</t>
        </is>
      </c>
      <c r="B65" s="14" t="inlineStr">
        <is>
          <t>سندات القبض والصرف</t>
        </is>
      </c>
      <c r="C65" s="15" t="inlineStr">
        <is>
          <t>إنشاء سند قبض بترقيم مستقل RV-</t>
        </is>
      </c>
      <c r="D65" s="14" t="inlineStr">
        <is>
          <t>—</t>
        </is>
      </c>
      <c r="E65" s="14" t="inlineStr">
        <is>
          <t>1. أنشئ سند قبض kind=receipt.</t>
        </is>
      </c>
      <c r="F65" s="14" t="inlineStr">
        <is>
          <t>يأخذ رقم RV-xxxxx من تسلسل مستقل عن PV؛ الترقيم لا يُصفَّر ولا يُعاد.</t>
        </is>
      </c>
      <c r="G65" s="13" t="inlineStr">
        <is>
          <t>P1</t>
        </is>
      </c>
      <c r="H65" s="14" t="inlineStr">
        <is>
          <t>وظيفي</t>
        </is>
      </c>
      <c r="I65" s="13" t="inlineStr">
        <is>
          <t>لم يُختبر</t>
        </is>
      </c>
      <c r="J65" s="14" t="inlineStr"/>
      <c r="K65" s="13" t="inlineStr"/>
      <c r="L65" s="14" t="inlineStr"/>
    </row>
    <row r="66">
      <c r="A66" s="13" t="inlineStr">
        <is>
          <t>TC-B-065</t>
        </is>
      </c>
      <c r="B66" s="14" t="inlineStr">
        <is>
          <t>سندات القبض والصرف</t>
        </is>
      </c>
      <c r="C66" s="15" t="inlineStr">
        <is>
          <t>الحقول الإلزامية والحدود</t>
        </is>
      </c>
      <c r="D66" s="14" t="inlineStr">
        <is>
          <t>—</t>
        </is>
      </c>
      <c r="E66" s="14" t="inlineStr">
        <is>
          <t>1. أرسل سندًا بمبلغ 0، ثم -5، ثم بلا counterpartyName، ثم بلا purpose، ثم counterpartyName بطول 201 حرف، ثم method="crypto".</t>
        </is>
      </c>
      <c r="F66" s="14" t="inlineStr">
        <is>
          <t>400 تحقق لكل حالة؛ لا يُستهلك رقم.</t>
        </is>
      </c>
      <c r="G66" s="13" t="inlineStr">
        <is>
          <t>P1</t>
        </is>
      </c>
      <c r="H66" s="14" t="inlineStr">
        <is>
          <t>تحقق من المدخلات</t>
        </is>
      </c>
      <c r="I66" s="13" t="inlineStr">
        <is>
          <t>لم يُختبر</t>
        </is>
      </c>
      <c r="J66" s="14" t="inlineStr"/>
      <c r="K66" s="13" t="inlineStr"/>
      <c r="L66" s="14" t="inlineStr"/>
    </row>
    <row r="67">
      <c r="A67" s="13" t="inlineStr">
        <is>
          <t>TC-B-066</t>
        </is>
      </c>
      <c r="B67" s="14" t="inlineStr">
        <is>
          <t>سندات القبض والصرف</t>
        </is>
      </c>
      <c r="C67" s="15" t="inlineStr">
        <is>
          <t>تعديل سند مسودة مع التحكم بالنسخة</t>
        </is>
      </c>
      <c r="D67" s="14" t="inlineStr">
        <is>
          <t>سند draft version=1</t>
        </is>
      </c>
      <c r="E67" s="14" t="inlineStr">
        <is>
          <t>1. عدّل المبلغ وأرسل version=1.
2. أرسل تعديلًا آخر بنفس version=1 (من تبويب قديم).</t>
        </is>
      </c>
      <c r="F67" s="14" t="inlineStr">
        <is>
          <t>الأول ينجح وتصبح version=2 مع سجل تدقيق بالفروق؛ الثاني 409 «the voucher was changed by someone else — reload».</t>
        </is>
      </c>
      <c r="G67" s="13" t="inlineStr">
        <is>
          <t>P1</t>
        </is>
      </c>
      <c r="H67" s="14" t="inlineStr">
        <is>
          <t>أداء</t>
        </is>
      </c>
      <c r="I67" s="13" t="inlineStr">
        <is>
          <t>لم يُختبر</t>
        </is>
      </c>
      <c r="J67" s="14" t="inlineStr"/>
      <c r="K67" s="13" t="inlineStr"/>
      <c r="L67" s="14" t="inlineStr"/>
    </row>
    <row r="68">
      <c r="A68" s="13" t="inlineStr">
        <is>
          <t>TC-B-067</t>
        </is>
      </c>
      <c r="B68" s="14" t="inlineStr">
        <is>
          <t>سندات القبض والصرف</t>
        </is>
      </c>
      <c r="C68" s="15" t="inlineStr">
        <is>
          <t>اعتماد السند بواسطة شخص ثانٍ</t>
        </is>
      </c>
      <c r="D68" s="14" t="inlineStr">
        <is>
          <t>سند draft أنشأه المحاسب أ؛ المستخدم ب لديه voucher.approve</t>
        </is>
      </c>
      <c r="E68" s="14" t="inlineStr">
        <is>
          <t>1. ب يضغط «اعتماد وختم» (POST /vouchers/:id/approve).</t>
        </is>
      </c>
      <c r="F68" s="14" t="inlineStr">
        <is>
          <t>الحالة approved، approvedBy/approvedByName = ب، approvedAt مسجل، سجل تدقيق approve.</t>
        </is>
      </c>
      <c r="G68" s="13" t="inlineStr">
        <is>
          <t>P1</t>
        </is>
      </c>
      <c r="H68" s="14" t="inlineStr">
        <is>
          <t>وظيفي</t>
        </is>
      </c>
      <c r="I68" s="13" t="inlineStr">
        <is>
          <t>لم يُختبر</t>
        </is>
      </c>
      <c r="J68" s="14" t="inlineStr"/>
      <c r="K68" s="13" t="inlineStr"/>
      <c r="L68" s="14" t="inlineStr"/>
    </row>
    <row r="69">
      <c r="A69" s="13" t="inlineStr">
        <is>
          <t>TC-B-068</t>
        </is>
      </c>
      <c r="B69" s="14" t="inlineStr">
        <is>
          <t>سندات القبض والصرف</t>
        </is>
      </c>
      <c r="C69" s="15" t="inlineStr">
        <is>
          <t>منشئ السند لا يعتمد سنده (إلا المالك)</t>
        </is>
      </c>
      <c r="D69" s="14" t="inlineStr">
        <is>
          <t>المستخدم أ لديه voucher.write و voucher.approve وليس owner</t>
        </is>
      </c>
      <c r="E69" s="14" t="inlineStr">
        <is>
          <t>1. أ ينشئ سندًا ثم يحاول اعتماده.
2. كرر بمستخدم دوره owner.</t>
        </is>
      </c>
      <c r="F69" s="14" t="inlineStr">
        <is>
          <t>أ: 403 «you cannot approve a voucher you created…»؛ owner: ينجح.</t>
        </is>
      </c>
      <c r="G69" s="13" t="inlineStr">
        <is>
          <t>P1</t>
        </is>
      </c>
      <c r="H69" s="14" t="inlineStr">
        <is>
          <t>صلاحيات</t>
        </is>
      </c>
      <c r="I69" s="13" t="inlineStr">
        <is>
          <t>لم يُختبر</t>
        </is>
      </c>
      <c r="J69" s="14" t="inlineStr"/>
      <c r="K69" s="13" t="inlineStr"/>
      <c r="L69" s="14" t="inlineStr"/>
    </row>
    <row r="70">
      <c r="A70" s="13" t="inlineStr">
        <is>
          <t>TC-B-069</t>
        </is>
      </c>
      <c r="B70" s="14" t="inlineStr">
        <is>
          <t>سندات القبض والصرف</t>
        </is>
      </c>
      <c r="C70" s="15" t="inlineStr">
        <is>
          <t>مستخدم بلا voucher.approve لا يعتمد</t>
        </is>
      </c>
      <c r="D70" s="14" t="inlineStr">
        <is>
          <t>دور voucher.write فقط</t>
        </is>
      </c>
      <c r="E70" s="14" t="inlineStr">
        <is>
          <t>1. حاول الاعتماد.</t>
        </is>
      </c>
      <c r="F70" s="14" t="inlineStr">
        <is>
          <t>403؛ زر الاعتماد غير ظاهر.</t>
        </is>
      </c>
      <c r="G70" s="13" t="inlineStr">
        <is>
          <t>P1</t>
        </is>
      </c>
      <c r="H70" s="14" t="inlineStr">
        <is>
          <t>صلاحيات</t>
        </is>
      </c>
      <c r="I70" s="13" t="inlineStr">
        <is>
          <t>لم يُختبر</t>
        </is>
      </c>
      <c r="J70" s="14" t="inlineStr"/>
      <c r="K70" s="13" t="inlineStr"/>
      <c r="L70" s="14" t="inlineStr"/>
    </row>
    <row r="71">
      <c r="A71" s="13" t="inlineStr">
        <is>
          <t>TC-B-070</t>
        </is>
      </c>
      <c r="B71" s="14" t="inlineStr">
        <is>
          <t>سندات القبض والصرف</t>
        </is>
      </c>
      <c r="C71" s="15" t="inlineStr">
        <is>
          <t>السند المعتمد للقراءة فقط</t>
        </is>
      </c>
      <c r="D71" s="14" t="inlineStr">
        <is>
          <t>سند approved</t>
        </is>
      </c>
      <c r="E71" s="14" t="inlineStr">
        <is>
          <t>1. حاول تعديله PUT.
2. حاول اعتماده مرة ثانية.</t>
        </is>
      </c>
      <c r="F71" s="14" t="inlineStr">
        <is>
          <t>409 «only draft vouchers can be edited» و409 «the voucher is already approved».</t>
        </is>
      </c>
      <c r="G71" s="13" t="inlineStr">
        <is>
          <t>P1</t>
        </is>
      </c>
      <c r="H71" s="14" t="inlineStr">
        <is>
          <t>حالات حدّية</t>
        </is>
      </c>
      <c r="I71" s="13" t="inlineStr">
        <is>
          <t>لم يُختبر</t>
        </is>
      </c>
      <c r="J71" s="14" t="inlineStr"/>
      <c r="K71" s="13" t="inlineStr"/>
      <c r="L71" s="14" t="inlineStr"/>
    </row>
    <row r="72">
      <c r="A72" s="13" t="inlineStr">
        <is>
          <t>TC-B-071</t>
        </is>
      </c>
      <c r="B72" s="14" t="inlineStr">
        <is>
          <t>سندات القبض والصرف</t>
        </is>
      </c>
      <c r="C72" s="15" t="inlineStr">
        <is>
          <t>إلغاء مسودة بسبب</t>
        </is>
      </c>
      <c r="D72" s="14" t="inlineStr">
        <is>
          <t>سند draft؛ مستخدم voucher.write</t>
        </is>
      </c>
      <c r="E72" s="14" t="inlineStr">
        <is>
          <t>1. ألغِ مع سبب «إدخال خاطئ».</t>
        </is>
      </c>
      <c r="F72" s="14" t="inlineStr">
        <is>
          <t>cancelled مع cancelReason و cancelledBy؛ سجل تدقيق cancel يحمل السبب؛ الرقم لا يعاد استخدامه.</t>
        </is>
      </c>
      <c r="G72" s="13" t="inlineStr">
        <is>
          <t>P1</t>
        </is>
      </c>
      <c r="H72" s="14" t="inlineStr">
        <is>
          <t>وظيفي</t>
        </is>
      </c>
      <c r="I72" s="13" t="inlineStr">
        <is>
          <t>لم يُختبر</t>
        </is>
      </c>
      <c r="J72" s="14" t="inlineStr"/>
      <c r="K72" s="13" t="inlineStr"/>
      <c r="L72" s="14" t="inlineStr"/>
    </row>
    <row r="73">
      <c r="A73" s="13" t="inlineStr">
        <is>
          <t>TC-B-072</t>
        </is>
      </c>
      <c r="B73" s="14" t="inlineStr">
        <is>
          <t>سندات القبض والصرف</t>
        </is>
      </c>
      <c r="C73" s="15" t="inlineStr">
        <is>
          <t>إلغاء سند معتمد يتطلب voucher.approve</t>
        </is>
      </c>
      <c r="D73" s="14" t="inlineStr">
        <is>
          <t>سند approved؛ مستخدم voucher.write فقط</t>
        </is>
      </c>
      <c r="E73" s="14" t="inlineStr">
        <is>
          <t>1. حاول الإلغاء.
2. كرر بمستخدم voucher.approve.</t>
        </is>
      </c>
      <c r="F73" s="14" t="inlineStr">
        <is>
          <t>الأول 403 «cancelling an approved voucher requires voucher.approve»؛ الثاني ينجح.</t>
        </is>
      </c>
      <c r="G73" s="13" t="inlineStr">
        <is>
          <t>P1</t>
        </is>
      </c>
      <c r="H73" s="14" t="inlineStr">
        <is>
          <t>صلاحيات</t>
        </is>
      </c>
      <c r="I73" s="13" t="inlineStr">
        <is>
          <t>لم يُختبر</t>
        </is>
      </c>
      <c r="J73" s="14" t="inlineStr"/>
      <c r="K73" s="13" t="inlineStr"/>
      <c r="L73" s="14" t="inlineStr"/>
    </row>
    <row r="74">
      <c r="A74" s="13" t="inlineStr">
        <is>
          <t>TC-B-073</t>
        </is>
      </c>
      <c r="B74" s="14" t="inlineStr">
        <is>
          <t>سندات القبض والصرف</t>
        </is>
      </c>
      <c r="C74" s="15" t="inlineStr">
        <is>
          <t>الختم يظهر فقط على السند المعتمد في PDF</t>
        </is>
      </c>
      <c r="D74" s="14" t="inlineStr">
        <is>
          <t>ثلاثة سندات: draft و approved و cancelled</t>
        </is>
      </c>
      <c r="E74" s="14" t="inlineStr">
        <is>
          <t>1. افتح GET /vouchers/:id/pdf لكلٍ منها.</t>
        </is>
      </c>
      <c r="F74" s="14" t="inlineStr">
        <is>
          <t>المعتمد: ختم الشركة واسم المعتمد وتاريخ الاعتماد؛ المسودة: بلا ختم مع علامة مسودة؛ الملغى: بلا ختم ويظهر «ملغى» وسبب الإلغاء. المبلغ كتابة صحيح.</t>
        </is>
      </c>
      <c r="G74" s="13" t="inlineStr">
        <is>
          <t>P1</t>
        </is>
      </c>
      <c r="H74" s="14" t="inlineStr">
        <is>
          <t>واجهة وعرض</t>
        </is>
      </c>
      <c r="I74" s="13" t="inlineStr">
        <is>
          <t>لم يُختبر</t>
        </is>
      </c>
      <c r="J74" s="14" t="inlineStr"/>
      <c r="K74" s="13" t="inlineStr"/>
      <c r="L74" s="14" t="inlineStr"/>
    </row>
    <row r="75">
      <c r="A75" s="13" t="inlineStr">
        <is>
          <t>TC-B-074</t>
        </is>
      </c>
      <c r="B75" s="14" t="inlineStr">
        <is>
          <t>سندات القبض والصرف</t>
        </is>
      </c>
      <c r="C75" s="15" t="inlineStr">
        <is>
          <t>ملخص القائمة يحتسب المعتمد فقط</t>
        </is>
      </c>
      <c r="D75" s="14" t="inlineStr">
        <is>
          <t>سندات صرف: معتمد 100، مسودة 50، ملغى 30؛ قبض معتمد 200</t>
        </is>
      </c>
      <c r="E75" s="14" t="inlineStr">
        <is>
          <t>1. افتح قائمة السندات.</t>
        </is>
      </c>
      <c r="F75" s="14" t="inlineStr">
        <is>
          <t>summary.paid=100.00، received=200.00، pending=1 (عدد المسودات)؛ total = عدد كل السندات المطابقة للفلتر.</t>
        </is>
      </c>
      <c r="G75" s="13" t="inlineStr">
        <is>
          <t>P1</t>
        </is>
      </c>
      <c r="H75" s="14" t="inlineStr">
        <is>
          <t>وظيفي</t>
        </is>
      </c>
      <c r="I75" s="13" t="inlineStr">
        <is>
          <t>لم يُختبر</t>
        </is>
      </c>
      <c r="J75" s="14" t="inlineStr"/>
      <c r="K75" s="13" t="inlineStr"/>
      <c r="L75" s="14" t="inlineStr"/>
    </row>
    <row r="76">
      <c r="A76" s="13" t="inlineStr">
        <is>
          <t>TC-B-075</t>
        </is>
      </c>
      <c r="B76" s="14" t="inlineStr">
        <is>
          <t>سندات القبض والصرف</t>
        </is>
      </c>
      <c r="C76" s="15" t="inlineStr">
        <is>
          <t>قراءة السندات تتطلب voucher.read</t>
        </is>
      </c>
      <c r="D76" s="14" t="inlineStr">
        <is>
          <t>مستخدم مبيعات بلا صلاحية</t>
        </is>
      </c>
      <c r="E76" s="14" t="inlineStr">
        <is>
          <t>1. افتح /finance/vouchers و GET /vouchers.</t>
        </is>
      </c>
      <c r="F76" s="14" t="inlineStr">
        <is>
          <t>403 والقائمة غير ظاهرة في القائمة الجانبية.</t>
        </is>
      </c>
      <c r="G76" s="13" t="inlineStr">
        <is>
          <t>P1</t>
        </is>
      </c>
      <c r="H76" s="14" t="inlineStr">
        <is>
          <t>صلاحيات</t>
        </is>
      </c>
      <c r="I76" s="13" t="inlineStr">
        <is>
          <t>لم يُختبر</t>
        </is>
      </c>
      <c r="J76" s="14" t="inlineStr"/>
      <c r="K76" s="13" t="inlineStr"/>
      <c r="L76" s="14" t="inlineStr"/>
    </row>
    <row r="77">
      <c r="A77" s="13" t="inlineStr">
        <is>
          <t>TC-B-076</t>
        </is>
      </c>
      <c r="B77" s="14" t="inlineStr">
        <is>
          <t>سندات القبض والصرف</t>
        </is>
      </c>
      <c r="C77" s="15" t="inlineStr">
        <is>
          <t>تاريخ السند في المستقبل مرفوض</t>
        </is>
      </c>
      <c r="D77" s="14" t="inlineStr">
        <is>
          <t>—</t>
        </is>
      </c>
      <c r="E77" s="14" t="inlineStr">
        <is>
          <t>1. أنشئ سندًا بتاريخ الغد بتوقيت الرياض.</t>
        </is>
      </c>
      <c r="F77" s="14" t="inlineStr">
        <is>
          <t>400 «the voucher date cannot be in the future»؛ تاريخ اليوم مقبول حتى 23:59 بتوقيت الرياض.</t>
        </is>
      </c>
      <c r="G77" s="13" t="inlineStr">
        <is>
          <t>P2</t>
        </is>
      </c>
      <c r="H77" s="14" t="inlineStr">
        <is>
          <t>حالات حدّية</t>
        </is>
      </c>
      <c r="I77" s="13" t="inlineStr">
        <is>
          <t>لم يُختبر</t>
        </is>
      </c>
      <c r="J77" s="14" t="inlineStr"/>
      <c r="K77" s="13" t="inlineStr"/>
      <c r="L77" s="14" t="inlineStr"/>
    </row>
    <row r="78">
      <c r="A78" s="13" t="inlineStr">
        <is>
          <t>TC-B-077</t>
        </is>
      </c>
      <c r="B78" s="14" t="inlineStr">
        <is>
          <t>سندات القبض والصرف</t>
        </is>
      </c>
      <c r="C78" s="15" t="inlineStr">
        <is>
          <t>تقريب المبلغ إلى هللتين</t>
        </is>
      </c>
      <c r="D78" s="14" t="inlineStr">
        <is>
          <t>—</t>
        </is>
      </c>
      <c r="E78" s="14" t="inlineStr">
        <is>
          <t>1. أدخل المبلغ 100.005 أو 100.999.</t>
        </is>
      </c>
      <c r="F78" s="14" t="inlineStr">
        <is>
          <t>إما رفض تحقق zMoney أو تخزين بدقة هللتين بقاعدة واضحة؛ لا تُخزن 3 منازل عشرية.</t>
        </is>
      </c>
      <c r="G78" s="13" t="inlineStr">
        <is>
          <t>P2</t>
        </is>
      </c>
      <c r="H78" s="14" t="inlineStr">
        <is>
          <t>حالات حدّية</t>
        </is>
      </c>
      <c r="I78" s="13" t="inlineStr">
        <is>
          <t>لم يُختبر</t>
        </is>
      </c>
      <c r="J78" s="14" t="inlineStr"/>
      <c r="K78" s="13" t="inlineStr"/>
      <c r="L78" s="14" t="inlineStr"/>
    </row>
    <row r="79">
      <c r="A79" s="13" t="inlineStr">
        <is>
          <t>TC-B-078</t>
        </is>
      </c>
      <c r="B79" s="14" t="inlineStr">
        <is>
          <t>سندات القبض والصرف</t>
        </is>
      </c>
      <c r="C79" s="15" t="inlineStr">
        <is>
          <t>منع تغيير نوع السند عند التعديل</t>
        </is>
      </c>
      <c r="D79" s="14" t="inlineStr">
        <is>
          <t>سند payment draft</t>
        </is>
      </c>
      <c r="E79" s="14" t="inlineStr">
        <is>
          <t>1. عدّل kind إلى receipt.</t>
        </is>
      </c>
      <c r="F79" s="14" t="inlineStr">
        <is>
          <t>400 «the voucher kind cannot be changed».</t>
        </is>
      </c>
      <c r="G79" s="13" t="inlineStr">
        <is>
          <t>P2</t>
        </is>
      </c>
      <c r="H79" s="14" t="inlineStr">
        <is>
          <t>تحقق من المدخلات</t>
        </is>
      </c>
      <c r="I79" s="13" t="inlineStr">
        <is>
          <t>لم يُختبر</t>
        </is>
      </c>
      <c r="J79" s="14" t="inlineStr"/>
      <c r="K79" s="13" t="inlineStr"/>
      <c r="L79" s="14" t="inlineStr"/>
    </row>
    <row r="80">
      <c r="A80" s="13" t="inlineStr">
        <is>
          <t>TC-B-079</t>
        </is>
      </c>
      <c r="B80" s="14" t="inlineStr">
        <is>
          <t>سندات القبض والصرف</t>
        </is>
      </c>
      <c r="C80" s="15" t="inlineStr">
        <is>
          <t>الإلغاء بلا سبب أو مكرر</t>
        </is>
      </c>
      <c r="D80" s="14" t="inlineStr">
        <is>
          <t>سند cancelled وآخر draft</t>
        </is>
      </c>
      <c r="E80" s="14" t="inlineStr">
        <is>
          <t>1. ألغِ draft بسبب فارغ.
2. ألغِ الملغى مرة ثانية.</t>
        </is>
      </c>
      <c r="F80" s="14" t="inlineStr">
        <is>
          <t>400 تحقق للسبب؛ 409 «the voucher is already cancelled».</t>
        </is>
      </c>
      <c r="G80" s="13" t="inlineStr">
        <is>
          <t>P2</t>
        </is>
      </c>
      <c r="H80" s="14" t="inlineStr">
        <is>
          <t>تحقق من المدخلات</t>
        </is>
      </c>
      <c r="I80" s="13" t="inlineStr">
        <is>
          <t>لم يُختبر</t>
        </is>
      </c>
      <c r="J80" s="14" t="inlineStr"/>
      <c r="K80" s="13" t="inlineStr"/>
      <c r="L80" s="14" t="inlineStr"/>
    </row>
    <row r="81">
      <c r="A81" s="13" t="inlineStr">
        <is>
          <t>TC-B-080</t>
        </is>
      </c>
      <c r="B81" s="14" t="inlineStr">
        <is>
          <t>سندات القبض والصرف</t>
        </is>
      </c>
      <c r="C81" s="15" t="inlineStr">
        <is>
          <t>PDF السند بالعربية والبيانات كاملة</t>
        </is>
      </c>
      <c r="D81" s="14" t="inlineStr">
        <is>
          <t>سند تحويل بنكي مرتبط بمشروع</t>
        </is>
      </c>
      <c r="E81" s="14" t="inlineStr">
        <is>
          <t>1. افتح PDF.</t>
        </is>
      </c>
      <c r="F81" s="14" t="inlineStr">
        <is>
          <t>RTL؛ نوع السند (سند صرف/قبض)، الرقم، التاريخ، المستفيد ورقم هويته وجواله، الطريقة والبنك والمرجع، المشروع «رقم — اسم»، مركز التكلفة، المرجع، المنشئ.</t>
        </is>
      </c>
      <c r="G81" s="13" t="inlineStr">
        <is>
          <t>P2</t>
        </is>
      </c>
      <c r="H81" s="14" t="inlineStr">
        <is>
          <t>واجهة وعرض</t>
        </is>
      </c>
      <c r="I81" s="13" t="inlineStr">
        <is>
          <t>لم يُختبر</t>
        </is>
      </c>
      <c r="J81" s="14" t="inlineStr"/>
      <c r="K81" s="13" t="inlineStr"/>
      <c r="L81" s="14" t="inlineStr"/>
    </row>
    <row r="82">
      <c r="A82" s="13" t="inlineStr">
        <is>
          <t>TC-B-081</t>
        </is>
      </c>
      <c r="B82" s="14" t="inlineStr">
        <is>
          <t>سندات القبض والصرف</t>
        </is>
      </c>
      <c r="C82" s="15" t="inlineStr">
        <is>
          <t>فلترة وبحث السندات</t>
        </is>
      </c>
      <c r="D82" s="14" t="inlineStr">
        <is>
          <t>سندات متنوعة</t>
        </is>
      </c>
      <c r="E82" s="14" t="inlineStr">
        <is>
          <t>1. فلتر kind و status و from/to، وابحث بجزء من الرقم أو اسم المستفيد أو الغرض أو docRef.</t>
        </is>
      </c>
      <c r="F82" s="14" t="inlineStr">
        <is>
          <t>النتائج والملخص يتبعان الفلتر نفسه؛ الترتيب بالتاريخ تنازليًا.</t>
        </is>
      </c>
      <c r="G82" s="13" t="inlineStr">
        <is>
          <t>P2</t>
        </is>
      </c>
      <c r="H82" s="14" t="inlineStr">
        <is>
          <t>وظيفي</t>
        </is>
      </c>
      <c r="I82" s="13" t="inlineStr">
        <is>
          <t>لم يُختبر</t>
        </is>
      </c>
      <c r="J82" s="14" t="inlineStr"/>
      <c r="K82" s="13" t="inlineStr"/>
      <c r="L82" s="14" t="inlineStr"/>
    </row>
    <row r="83">
      <c r="A83" s="13" t="inlineStr">
        <is>
          <t>TC-B-082</t>
        </is>
      </c>
      <c r="B83" s="14" t="inlineStr">
        <is>
          <t>سندات القبض والصرف</t>
        </is>
      </c>
      <c r="C83" s="15" t="inlineStr">
        <is>
          <t>حماية الإدخال من HTML في PDF</t>
        </is>
      </c>
      <c r="D83" s="14" t="inlineStr">
        <is>
          <t>—</t>
        </is>
      </c>
      <c r="E83" s="14" t="inlineStr">
        <is>
          <t>1. أنشئ سندًا غرضه &lt;script&gt;alert(1)&lt;/script&gt; واسم مستفيد &lt;b&gt;x&lt;/b&gt;.
2. افتح PDF والواجهة.</t>
        </is>
      </c>
      <c r="F83" s="14" t="inlineStr">
        <is>
          <t>يُعرض النص حرفيًا (مهرّب) دون تنفيذ.</t>
        </is>
      </c>
      <c r="G83" s="13" t="inlineStr">
        <is>
          <t>P2</t>
        </is>
      </c>
      <c r="H83" s="14" t="inlineStr">
        <is>
          <t>أمان</t>
        </is>
      </c>
      <c r="I83" s="13" t="inlineStr">
        <is>
          <t>لم يُختبر</t>
        </is>
      </c>
      <c r="J83" s="14" t="inlineStr"/>
      <c r="K83" s="13" t="inlineStr"/>
      <c r="L83" s="14" t="inlineStr"/>
    </row>
    <row r="84">
      <c r="A84" s="13" t="inlineStr">
        <is>
          <t>TC-B-083</t>
        </is>
      </c>
      <c r="B84" s="14" t="inlineStr">
        <is>
          <t>سندات القبض والصرف</t>
        </is>
      </c>
      <c r="C84" s="15" t="inlineStr">
        <is>
          <t>تزامن ترقيم السندات</t>
        </is>
      </c>
      <c r="D84" s="14" t="inlineStr">
        <is>
          <t>—</t>
        </is>
      </c>
      <c r="E84" s="14" t="inlineStr">
        <is>
          <t>1. أنشئ 10 سندات صرف بالتوازي.</t>
        </is>
      </c>
      <c r="F84" s="14" t="inlineStr">
        <is>
          <t>أرقام PV فريدة ومتتالية دون تكرار.</t>
        </is>
      </c>
      <c r="G84" s="13" t="inlineStr">
        <is>
          <t>P2</t>
        </is>
      </c>
      <c r="H84" s="14" t="inlineStr">
        <is>
          <t>أداء</t>
        </is>
      </c>
      <c r="I84" s="13" t="inlineStr">
        <is>
          <t>لم يُختبر</t>
        </is>
      </c>
      <c r="J84" s="14" t="inlineStr"/>
      <c r="K84" s="13" t="inlineStr"/>
      <c r="L84" s="14" t="inlineStr"/>
    </row>
    <row r="85">
      <c r="A85" s="13" t="inlineStr">
        <is>
          <t>TC-B-084</t>
        </is>
      </c>
      <c r="B85" s="14" t="inlineStr">
        <is>
          <t>مكافآت الموظفين عبر سند صرف</t>
        </is>
      </c>
      <c r="C85" s="15" t="inlineStr">
        <is>
          <t>مكافأة تُصرف بسند صرف تنشئ سند مسودة مرتبطًا</t>
        </is>
      </c>
      <c r="D85" s="14" t="inlineStr">
        <is>
          <t>موظف نشط؛ مستخدم hr.write + voucher.write</t>
        </is>
      </c>
      <c r="E85" s="14" t="inlineStr">
        <is>
          <t>1. الموارد البشرية ← الموظف ← تعديل: kind=bonus، المبلغ 500، السبب «تميز»، payBy=voucher، method=transfer.</t>
        </is>
      </c>
      <c r="F85" s="14" t="inlineStr">
        <is>
          <t>يُنشأ سند صرف PV- بحالة draft باسم الموظف ورقم هويته وجواله، الغرض «مكافأة للموظف … — تميز»، مركز التكلفة «مكافآت الموظفين»، البنك والآيبان من ملف الموظف؛ التعديل يحمل voucherId ورقم السند وحالته؛ شهر التعديل = الشهر الحالي.</t>
        </is>
      </c>
      <c r="G85" s="13" t="inlineStr">
        <is>
          <t>P1</t>
        </is>
      </c>
      <c r="H85" s="14" t="inlineStr">
        <is>
          <t>تكامل</t>
        </is>
      </c>
      <c r="I85" s="13" t="inlineStr">
        <is>
          <t>لم يُختبر</t>
        </is>
      </c>
      <c r="J85" s="14" t="inlineStr"/>
      <c r="K85" s="13" t="inlineStr"/>
      <c r="L85" s="14" t="inlineStr"/>
    </row>
    <row r="86">
      <c r="A86" s="13" t="inlineStr">
        <is>
          <t>TC-B-085</t>
        </is>
      </c>
      <c r="B86" s="14" t="inlineStr">
        <is>
          <t>مكافآت الموظفين عبر سند صرف</t>
        </is>
      </c>
      <c r="C86" s="15" t="inlineStr">
        <is>
          <t>الدفع بسند يتطلب voucher.write</t>
        </is>
      </c>
      <c r="D86" s="14" t="inlineStr">
        <is>
          <t>مستخدم hr.write فقط</t>
        </is>
      </c>
      <c r="E86" s="14" t="inlineStr">
        <is>
          <t>1. أضف مكافأة payBy=voucher.</t>
        </is>
      </c>
      <c r="F86" s="14" t="inlineStr">
        <is>
          <t>403 «paying by voucher needs voucher.write…».</t>
        </is>
      </c>
      <c r="G86" s="13" t="inlineStr">
        <is>
          <t>P1</t>
        </is>
      </c>
      <c r="H86" s="14" t="inlineStr">
        <is>
          <t>صلاحيات</t>
        </is>
      </c>
      <c r="I86" s="13" t="inlineStr">
        <is>
          <t>لم يُختبر</t>
        </is>
      </c>
      <c r="J86" s="14" t="inlineStr"/>
      <c r="K86" s="13" t="inlineStr"/>
      <c r="L86" s="14" t="inlineStr"/>
    </row>
    <row r="87">
      <c r="A87" s="13" t="inlineStr">
        <is>
          <t>TC-B-086</t>
        </is>
      </c>
      <c r="B87" s="14" t="inlineStr">
        <is>
          <t>مكافآت الموظفين عبر سند صرف</t>
        </is>
      </c>
      <c r="C87" s="15" t="inlineStr">
        <is>
          <t>منع حذف مكافأة سندها معتمد</t>
        </is>
      </c>
      <c r="D87" s="14" t="inlineStr">
        <is>
          <t>مكافأة بسند approved</t>
        </is>
      </c>
      <c r="E87" s="14" t="inlineStr">
        <is>
          <t>1. احذف المكافأة.</t>
        </is>
      </c>
      <c r="F87" s="14" t="inlineStr">
        <is>
          <t>409 «payment voucher PV-… is already approved — cancel it in Finance first».</t>
        </is>
      </c>
      <c r="G87" s="13" t="inlineStr">
        <is>
          <t>P1</t>
        </is>
      </c>
      <c r="H87" s="14" t="inlineStr">
        <is>
          <t>حالات حدّية</t>
        </is>
      </c>
      <c r="I87" s="13" t="inlineStr">
        <is>
          <t>لم يُختبر</t>
        </is>
      </c>
      <c r="J87" s="14" t="inlineStr"/>
      <c r="K87" s="13" t="inlineStr"/>
      <c r="L87" s="14" t="inlineStr"/>
    </row>
    <row r="88">
      <c r="A88" s="13" t="inlineStr">
        <is>
          <t>TC-B-087</t>
        </is>
      </c>
      <c r="B88" s="14" t="inlineStr">
        <is>
          <t>مكافآت الموظفين عبر سند صرف</t>
        </is>
      </c>
      <c r="C88" s="15" t="inlineStr">
        <is>
          <t>المكافأة بسند لا تدخل الرواتب مرتين</t>
        </is>
      </c>
      <c r="D88" s="14" t="inlineStr">
        <is>
          <t>مكافأة بسند معتمد في الشهر الحالي</t>
        </is>
      </c>
      <c r="E88" s="14" t="inlineStr">
        <is>
          <t>1. شغّل مسير رواتب الشهر.</t>
        </is>
      </c>
      <c r="F88" s="14" t="inlineStr">
        <is>
          <t>لا تُضاف المكافأة إلى صافي الراتب (payMethod=voucher) لأنها صُرفت بالسند.</t>
        </is>
      </c>
      <c r="G88" s="13" t="inlineStr">
        <is>
          <t>P1</t>
        </is>
      </c>
      <c r="H88" s="14" t="inlineStr">
        <is>
          <t>تكامل</t>
        </is>
      </c>
      <c r="I88" s="13" t="inlineStr">
        <is>
          <t>لم يُختبر</t>
        </is>
      </c>
      <c r="J88" s="14" t="inlineStr"/>
      <c r="K88" s="13" t="inlineStr"/>
      <c r="L88" s="14" t="inlineStr"/>
    </row>
    <row r="89">
      <c r="A89" s="13" t="inlineStr">
        <is>
          <t>TC-B-088</t>
        </is>
      </c>
      <c r="B89" s="14" t="inlineStr">
        <is>
          <t>مكافآت الموظفين عبر سند صرف</t>
        </is>
      </c>
      <c r="C89" s="15" t="inlineStr">
        <is>
          <t>الخصم لا يُدفع بسند</t>
        </is>
      </c>
      <c r="D89" s="14" t="inlineStr">
        <is>
          <t>—</t>
        </is>
      </c>
      <c r="E89" s="14" t="inlineStr">
        <is>
          <t>1. أضف kind=deduction مع payBy=voucher.</t>
        </is>
      </c>
      <c r="F89" s="14" t="inlineStr">
        <is>
          <t>400 «only a bonus can be paid by voucher».</t>
        </is>
      </c>
      <c r="G89" s="13" t="inlineStr">
        <is>
          <t>P2</t>
        </is>
      </c>
      <c r="H89" s="14" t="inlineStr">
        <is>
          <t>تحقق من المدخلات</t>
        </is>
      </c>
      <c r="I89" s="13" t="inlineStr">
        <is>
          <t>لم يُختبر</t>
        </is>
      </c>
      <c r="J89" s="14" t="inlineStr"/>
      <c r="K89" s="13" t="inlineStr"/>
      <c r="L89" s="14" t="inlineStr"/>
    </row>
    <row r="90">
      <c r="A90" s="13" t="inlineStr">
        <is>
          <t>TC-B-089</t>
        </is>
      </c>
      <c r="B90" s="14" t="inlineStr">
        <is>
          <t>مكافآت الموظفين عبر سند صرف</t>
        </is>
      </c>
      <c r="C90" s="15" t="inlineStr">
        <is>
          <t>لا مكافأة بسند لموظف منتهية خدمته</t>
        </is>
      </c>
      <c r="D90" s="14" t="inlineStr">
        <is>
          <t>موظف status=terminated</t>
        </is>
      </c>
      <c r="E90" s="14" t="inlineStr">
        <is>
          <t>1. أضف مكافأة payBy=voucher.</t>
        </is>
      </c>
      <c r="F90" s="14" t="inlineStr">
        <is>
          <t>409 «the employee has left».</t>
        </is>
      </c>
      <c r="G90" s="13" t="inlineStr">
        <is>
          <t>P2</t>
        </is>
      </c>
      <c r="H90" s="14" t="inlineStr">
        <is>
          <t>حالات حدّية</t>
        </is>
      </c>
      <c r="I90" s="13" t="inlineStr">
        <is>
          <t>لم يُختبر</t>
        </is>
      </c>
      <c r="J90" s="14" t="inlineStr"/>
      <c r="K90" s="13" t="inlineStr"/>
      <c r="L90" s="14" t="inlineStr"/>
    </row>
    <row r="91">
      <c r="A91" s="13" t="inlineStr">
        <is>
          <t>TC-B-090</t>
        </is>
      </c>
      <c r="B91" s="14" t="inlineStr">
        <is>
          <t>مكافآت الموظفين عبر سند صرف</t>
        </is>
      </c>
      <c r="C91" s="15" t="inlineStr">
        <is>
          <t>حذف المكافأة يلغي سندها المسودة</t>
        </is>
      </c>
      <c r="D91" s="14" t="inlineStr">
        <is>
          <t>مكافأة بسند draft</t>
        </is>
      </c>
      <c r="E91" s="14" t="inlineStr">
        <is>
          <t>1. احذف المكافأة.</t>
        </is>
      </c>
      <c r="F91" s="14" t="inlineStr">
        <is>
          <t>يُلغى السند (cancelled) مع سجل تدقيق «bonus deleted in HR».</t>
        </is>
      </c>
      <c r="G91" s="13" t="inlineStr">
        <is>
          <t>P2</t>
        </is>
      </c>
      <c r="H91" s="14" t="inlineStr">
        <is>
          <t>تكامل</t>
        </is>
      </c>
      <c r="I91" s="13" t="inlineStr">
        <is>
          <t>لم يُختبر</t>
        </is>
      </c>
      <c r="J91" s="14" t="inlineStr"/>
      <c r="K91" s="13" t="inlineStr"/>
      <c r="L91" s="14" t="inlineStr"/>
    </row>
    <row r="92">
      <c r="A92" s="13" t="inlineStr">
        <is>
          <t>TC-B-091</t>
        </is>
      </c>
      <c r="B92" s="14" t="inlineStr">
        <is>
          <t>مستحقات الموردين (الجانب المالي)</t>
        </is>
      </c>
      <c r="C92" s="15" t="inlineStr">
        <is>
          <t>تسجيل دفعة لفاتورة مورد معتمدة</t>
        </is>
      </c>
      <c r="D92" s="14" t="inlineStr">
        <is>
          <t>فاتورة مورد approved متبقٍ عليها 10,000؛ مستخدم payment.record</t>
        </is>
      </c>
      <c r="E92" s="14" t="inlineStr">
        <is>
          <t>1. سجّل دفعة 4,000 بتاريخ اليوم (POST /inventory/bills/:id/payments).</t>
        </is>
      </c>
      <c r="F92" s="14" t="inlineStr">
        <is>
          <t>حالة الفاتورة partially_paid والمتبقي 6,000.</t>
        </is>
      </c>
      <c r="G92" s="13" t="inlineStr">
        <is>
          <t>P1</t>
        </is>
      </c>
      <c r="H92" s="14" t="inlineStr">
        <is>
          <t>وظيفي</t>
        </is>
      </c>
      <c r="I92" s="13" t="inlineStr">
        <is>
          <t>لم يُختبر</t>
        </is>
      </c>
      <c r="J92" s="14" t="inlineStr"/>
      <c r="K92" s="13" t="inlineStr"/>
      <c r="L92" s="14" t="inlineStr"/>
    </row>
    <row r="93">
      <c r="A93" s="13" t="inlineStr">
        <is>
          <t>TC-B-092</t>
        </is>
      </c>
      <c r="B93" s="14" t="inlineStr">
        <is>
          <t>مستحقات الموردين (الجانب المالي)</t>
        </is>
      </c>
      <c r="C93" s="15" t="inlineStr">
        <is>
          <t>منع الدفع الزائد للمورد</t>
        </is>
      </c>
      <c r="D93" s="14" t="inlineStr">
        <is>
          <t>متبقٍ 6,000</t>
        </is>
      </c>
      <c r="E93" s="14" t="inlineStr">
        <is>
          <t>1. سجّل 6,000.01.</t>
        </is>
      </c>
      <c r="F93" s="14" t="inlineStr">
        <is>
          <t>400 «only 6000.00 … is still owed on …».</t>
        </is>
      </c>
      <c r="G93" s="13" t="inlineStr">
        <is>
          <t>P1</t>
        </is>
      </c>
      <c r="H93" s="14" t="inlineStr">
        <is>
          <t>حالات حدّية</t>
        </is>
      </c>
      <c r="I93" s="13" t="inlineStr">
        <is>
          <t>لم يُختبر</t>
        </is>
      </c>
      <c r="J93" s="14" t="inlineStr"/>
      <c r="K93" s="13" t="inlineStr"/>
      <c r="L93" s="14" t="inlineStr"/>
    </row>
    <row r="94">
      <c r="A94" s="13" t="inlineStr">
        <is>
          <t>TC-B-093</t>
        </is>
      </c>
      <c r="B94" s="14" t="inlineStr">
        <is>
          <t>مستحقات الموردين (الجانب المالي)</t>
        </is>
      </c>
      <c r="C94" s="15" t="inlineStr">
        <is>
          <t>أعمار المستحقات للموردين تتطلب purchase.cost.read</t>
        </is>
      </c>
      <c r="D94" s="14" t="inlineStr">
        <is>
          <t>مستخدم purchase.read فقط وآخر بالصلاحية</t>
        </is>
      </c>
      <c r="E94" s="14" t="inlineStr">
        <is>
          <t>1. افتح GET /inventory/bills/aging بكلٍ منهما.</t>
        </is>
      </c>
      <c r="F94" s="14" t="inlineStr">
        <is>
          <t>الأول 403؛ الثاني يرى الشرائح current/1_30/31_60/61_90/90_plus ومجموعها = المتبقي على الفواتير.</t>
        </is>
      </c>
      <c r="G94" s="13" t="inlineStr">
        <is>
          <t>P1</t>
        </is>
      </c>
      <c r="H94" s="14" t="inlineStr">
        <is>
          <t>صلاحيات</t>
        </is>
      </c>
      <c r="I94" s="13" t="inlineStr">
        <is>
          <t>لم يُختبر</t>
        </is>
      </c>
      <c r="J94" s="14" t="inlineStr"/>
      <c r="K94" s="13" t="inlineStr"/>
      <c r="L94" s="14" t="inlineStr"/>
    </row>
    <row r="95">
      <c r="A95" s="13" t="inlineStr">
        <is>
          <t>TC-B-094</t>
        </is>
      </c>
      <c r="B95" s="14" t="inlineStr">
        <is>
          <t>مستحقات الموردين (الجانب المالي)</t>
        </is>
      </c>
      <c r="C95" s="15" t="inlineStr">
        <is>
          <t>منع الدفع على فاتورة مسودة/استثناء مطابقة</t>
        </is>
      </c>
      <c r="D95" s="14" t="inlineStr">
        <is>
          <t>فاتورة draft</t>
        </is>
      </c>
      <c r="E95" s="14" t="inlineStr">
        <is>
          <t>1. سجّل دفعة.</t>
        </is>
      </c>
      <c r="F95" s="14" t="inlineStr">
        <is>
          <t>400 «… is waiting for approval of its match exception».</t>
        </is>
      </c>
      <c r="G95" s="13" t="inlineStr">
        <is>
          <t>P2</t>
        </is>
      </c>
      <c r="H95" s="14" t="inlineStr">
        <is>
          <t>حالات حدّية</t>
        </is>
      </c>
      <c r="I95" s="13" t="inlineStr">
        <is>
          <t>لم يُختبر</t>
        </is>
      </c>
      <c r="J95" s="14" t="inlineStr"/>
      <c r="K95" s="13" t="inlineStr"/>
      <c r="L95" s="14" t="inlineStr"/>
    </row>
    <row r="96">
      <c r="A96" s="13" t="inlineStr">
        <is>
          <t>TC-B-095</t>
        </is>
      </c>
      <c r="B96" s="14" t="inlineStr">
        <is>
          <t>مستحقات الموردين (الجانب المالي)</t>
        </is>
      </c>
      <c r="C96" s="15" t="inlineStr">
        <is>
          <t>إلغاء (void) دفعة مورد يعيد المتبقي</t>
        </is>
      </c>
      <c r="D96" s="14" t="inlineStr">
        <is>
          <t>دفعة مسجلة</t>
        </is>
      </c>
      <c r="E96" s="14" t="inlineStr">
        <is>
          <t>1. اضغط إلغاء الدفعة.</t>
        </is>
      </c>
      <c r="F96" s="14" t="inlineStr">
        <is>
          <t>يعود المتبقي وحالة الفاتورة كما كانت؛ سجل تدقيق.</t>
        </is>
      </c>
      <c r="G96" s="13" t="inlineStr">
        <is>
          <t>P2</t>
        </is>
      </c>
      <c r="H96" s="14" t="inlineStr">
        <is>
          <t>وظيفي</t>
        </is>
      </c>
      <c r="I96" s="13" t="inlineStr">
        <is>
          <t>لم يُختبر</t>
        </is>
      </c>
      <c r="J96" s="14" t="inlineStr"/>
      <c r="K96" s="13" t="inlineStr"/>
      <c r="L96" s="14" t="inlineStr"/>
    </row>
    <row r="97">
      <c r="A97" s="13" t="inlineStr">
        <is>
          <t>TC-B-096</t>
        </is>
      </c>
      <c r="B97" s="14" t="inlineStr">
        <is>
          <t>مستحقات الموردين (الجانب المالي)</t>
        </is>
      </c>
      <c r="C97" s="15" t="inlineStr">
        <is>
          <t>فاتورة مورد مكررة برقم المورد نفسه</t>
        </is>
      </c>
      <c r="D97" s="14" t="inlineStr">
        <is>
          <t>فاتورة مسجلة برقم INV-77 للمورد</t>
        </is>
      </c>
      <c r="E97" s="14" t="inlineStr">
        <is>
          <t>1. سجّل فاتورة مباشرة بالرقم نفسه.</t>
        </is>
      </c>
      <c r="F97" s="14" t="inlineStr">
        <is>
          <t>409 «supplier invoice INV-77 is already recorded as …».</t>
        </is>
      </c>
      <c r="G97" s="13" t="inlineStr">
        <is>
          <t>P2</t>
        </is>
      </c>
      <c r="H97" s="14" t="inlineStr">
        <is>
          <t>حالات حدّية</t>
        </is>
      </c>
      <c r="I97" s="13" t="inlineStr">
        <is>
          <t>لم يُختبر</t>
        </is>
      </c>
      <c r="J97" s="14" t="inlineStr"/>
      <c r="K97" s="13" t="inlineStr"/>
      <c r="L97" s="14" t="inlineStr"/>
    </row>
    <row r="98">
      <c r="A98" s="13" t="inlineStr">
        <is>
          <t>TC-B-097</t>
        </is>
      </c>
      <c r="B98" s="14" t="inlineStr">
        <is>
          <t>مستحقات الموردين (الجانب المالي)</t>
        </is>
      </c>
      <c r="C98" s="15" t="inlineStr">
        <is>
          <t>تاريخ دفع مستقبلي مرفوض</t>
        </is>
      </c>
      <c r="D98" s="14" t="inlineStr">
        <is>
          <t>—</t>
        </is>
      </c>
      <c r="E98" s="14" t="inlineStr">
        <is>
          <t>1. سجّل دفعة بتاريخ الغد.</t>
        </is>
      </c>
      <c r="F98" s="14" t="inlineStr">
        <is>
          <t>400 «the payment date is in the future».</t>
        </is>
      </c>
      <c r="G98" s="13" t="inlineStr">
        <is>
          <t>P3</t>
        </is>
      </c>
      <c r="H98" s="14" t="inlineStr">
        <is>
          <t>تحقق من المدخلات</t>
        </is>
      </c>
      <c r="I98" s="13" t="inlineStr">
        <is>
          <t>لم يُختبر</t>
        </is>
      </c>
      <c r="J98" s="14" t="inlineStr"/>
      <c r="K98" s="13" t="inlineStr"/>
      <c r="L98" s="14" t="inlineStr"/>
    </row>
    <row r="99">
      <c r="A99" s="13" t="inlineStr">
        <is>
          <t>TC-B-098</t>
        </is>
      </c>
      <c r="B99" s="14" t="inlineStr">
        <is>
          <t>العملاء المحتملون</t>
        </is>
      </c>
      <c r="C99" s="15" t="inlineStr">
        <is>
          <t>نموذج الموقع العام /lead ينشئ عميلًا محتملًا</t>
        </is>
      </c>
      <c r="D99" s="14" t="inlineStr">
        <is>
          <t>بدون تسجيل دخول</t>
        </is>
      </c>
      <c r="E99" s="14" t="inlineStr">
        <is>
          <t>1. افتح /lead واملأ الاسم وجوال 0501234567 والاهتمام smart_home.
2. أرسل.</t>
        </is>
      </c>
      <c r="F99" s="14" t="inlineStr">
        <is>
          <t>رد {ok, reference=رقم العميل}؛ يظهر العميل بمصدر website وجوال مطبّع (+9665…) وتقييم محسوب؛ يصل إشعار لمديري العملاء لأنه بلا مالك.</t>
        </is>
      </c>
      <c r="G99" s="13" t="inlineStr">
        <is>
          <t>P1</t>
        </is>
      </c>
      <c r="H99" s="14" t="inlineStr">
        <is>
          <t>وظيفي</t>
        </is>
      </c>
      <c r="I99" s="13" t="inlineStr">
        <is>
          <t>لم يُختبر</t>
        </is>
      </c>
      <c r="J99" s="14" t="inlineStr"/>
      <c r="K99" s="13" t="inlineStr"/>
      <c r="L99" s="14" t="inlineStr"/>
    </row>
    <row r="100">
      <c r="A100" s="13" t="inlineStr">
        <is>
          <t>TC-B-099</t>
        </is>
      </c>
      <c r="B100" s="14" t="inlineStr">
        <is>
          <t>العملاء المحتملون</t>
        </is>
      </c>
      <c r="C100" s="15" t="inlineStr">
        <is>
          <t>تكرار النموذج بنفس الجوال لا ينشئ سجلًا جديدًا</t>
        </is>
      </c>
      <c r="D100" s="14" t="inlineStr">
        <is>
          <t>عميل محتمل مفتوح بالجوال نفسه</t>
        </is>
      </c>
      <c r="E100" s="14" t="inlineStr">
        <is>
          <t>1. أرسل النموذج ثانية برسالة جديدة.</t>
        </is>
      </c>
      <c r="F100" s="14" t="inlineStr">
        <is>
          <t>لا سجل جديد؛ تُلحق الرسالة بتاريخ اليوم إلى رسالة العميل الموجود.</t>
        </is>
      </c>
      <c r="G100" s="13" t="inlineStr">
        <is>
          <t>P1</t>
        </is>
      </c>
      <c r="H100" s="14" t="inlineStr">
        <is>
          <t>حالات حدّية</t>
        </is>
      </c>
      <c r="I100" s="13" t="inlineStr">
        <is>
          <t>لم يُختبر</t>
        </is>
      </c>
      <c r="J100" s="14" t="inlineStr"/>
      <c r="K100" s="13" t="inlineStr"/>
      <c r="L100" s="14" t="inlineStr"/>
    </row>
    <row r="101">
      <c r="A101" s="13" t="inlineStr">
        <is>
          <t>TC-B-100</t>
        </is>
      </c>
      <c r="B101" s="14" t="inlineStr">
        <is>
          <t>العملاء المحتملون</t>
        </is>
      </c>
      <c r="C101" s="15" t="inlineStr">
        <is>
          <t>webhook العملاء من الإعلانات بتوقيع HMAC</t>
        </is>
      </c>
      <c r="D101" s="14" t="inlineStr">
        <is>
          <t>LEADS_WEBHOOK_SECRET مضبوط</t>
        </is>
      </c>
      <c r="E101" s="14" t="inlineStr">
        <is>
          <t>1. أرسل POST /webhooks/leads/snapchat بجسم صالح وتوقيع x-mmc-signature صحيح.
2. أرسل بتوقيع خاطئ.
3. أرسل بلا سر مضبوط في البيئة.</t>
        </is>
      </c>
      <c r="F101" s="14" t="inlineStr">
        <is>
          <t>الأول ينشئ عميلًا بمصدر snapchat ورسالة «حملة: …»؛ الثاني 403 «bad signature»؛ الثالث 403 «lead intake is not configured».</t>
        </is>
      </c>
      <c r="G101" s="13" t="inlineStr">
        <is>
          <t>P1</t>
        </is>
      </c>
      <c r="H101" s="14" t="inlineStr">
        <is>
          <t>أمان</t>
        </is>
      </c>
      <c r="I101" s="13" t="inlineStr">
        <is>
          <t>لم يُختبر</t>
        </is>
      </c>
      <c r="J101" s="14" t="inlineStr"/>
      <c r="K101" s="13" t="inlineStr"/>
      <c r="L101" s="14" t="inlineStr"/>
    </row>
    <row r="102">
      <c r="A102" s="13" t="inlineStr">
        <is>
          <t>TC-B-101</t>
        </is>
      </c>
      <c r="B102" s="14" t="inlineStr">
        <is>
          <t>العملاء المحتملون</t>
        </is>
      </c>
      <c r="C102" s="15" t="inlineStr">
        <is>
          <t>تكرار webhook بنفس externalId</t>
        </is>
      </c>
      <c r="D102" s="14" t="inlineStr">
        <is>
          <t>حدث وصل سابقًا</t>
        </is>
      </c>
      <c r="E102" s="14" t="inlineStr">
        <is>
          <t>1. أعد إرساله.</t>
        </is>
      </c>
      <c r="F102" s="14" t="inlineStr">
        <is>
          <t>{ok:true, duplicate:true} بدون سجل جديد.</t>
        </is>
      </c>
      <c r="G102" s="13" t="inlineStr">
        <is>
          <t>P1</t>
        </is>
      </c>
      <c r="H102" s="14" t="inlineStr">
        <is>
          <t>حالات حدّية</t>
        </is>
      </c>
      <c r="I102" s="13" t="inlineStr">
        <is>
          <t>لم يُختبر</t>
        </is>
      </c>
      <c r="J102" s="14" t="inlineStr"/>
      <c r="K102" s="13" t="inlineStr"/>
      <c r="L102" s="14" t="inlineStr"/>
    </row>
    <row r="103">
      <c r="A103" s="13" t="inlineStr">
        <is>
          <t>TC-B-102</t>
        </is>
      </c>
      <c r="B103" s="14" t="inlineStr">
        <is>
          <t>العملاء المحتملون</t>
        </is>
      </c>
      <c r="C103" s="15" t="inlineStr">
        <is>
          <t>واتساب وارد ينشئ محادثة ويمكن تحويلها لعميل محتمل</t>
        </is>
      </c>
      <c r="D103" s="14" t="inlineStr">
        <is>
          <t>webhook واتساب موقّع (x-hub-signature-256)</t>
        </is>
      </c>
      <c r="E103" s="14" t="inlineStr">
        <is>
          <t>1. أرسل رسالة واردة من رقم جديد.
2. من صندوق الرسائل اختر «إنشاء عميل محتمل».</t>
        </is>
      </c>
      <c r="F103" s="14" t="inlineStr">
        <is>
          <t>تظهر المحادثة في الصندوق؛ ينشأ عميل بمصدر whatsapp مرتبط بالمحادثة؛ توقيع خاطئ → 403.</t>
        </is>
      </c>
      <c r="G103" s="13" t="inlineStr">
        <is>
          <t>P1</t>
        </is>
      </c>
      <c r="H103" s="14" t="inlineStr">
        <is>
          <t>تكامل</t>
        </is>
      </c>
      <c r="I103" s="13" t="inlineStr">
        <is>
          <t>لم يُختبر</t>
        </is>
      </c>
      <c r="J103" s="14" t="inlineStr"/>
      <c r="K103" s="13" t="inlineStr"/>
      <c r="L103" s="14" t="inlineStr"/>
    </row>
    <row r="104">
      <c r="A104" s="13" t="inlineStr">
        <is>
          <t>TC-B-103</t>
        </is>
      </c>
      <c r="B104" s="14" t="inlineStr">
        <is>
          <t>العملاء المحتملون</t>
        </is>
      </c>
      <c r="C104" s="15" t="inlineStr">
        <is>
          <t>إنشاء عميل محتمل يدويًا ومنع التكرار بالجوال</t>
        </is>
      </c>
      <c r="D104" s="14" t="inlineStr">
        <is>
          <t>مستخدم lead.write؛ عميل مفتوح بالجوال 0551112222</t>
        </is>
      </c>
      <c r="E104" s="14" t="inlineStr">
        <is>
          <t>1. أنشئ عميلًا بالجوال نفسه.</t>
        </is>
      </c>
      <c r="F104" s="14" t="inlineStr">
        <is>
          <t>400 «an open lead with this mobile already exists (رقم)» مع id للانتقال إليه.</t>
        </is>
      </c>
      <c r="G104" s="13" t="inlineStr">
        <is>
          <t>P1</t>
        </is>
      </c>
      <c r="H104" s="14" t="inlineStr">
        <is>
          <t>تحقق من المدخلات</t>
        </is>
      </c>
      <c r="I104" s="13" t="inlineStr">
        <is>
          <t>لم يُختبر</t>
        </is>
      </c>
      <c r="J104" s="14" t="inlineStr"/>
      <c r="K104" s="13" t="inlineStr"/>
      <c r="L104" s="14" t="inlineStr"/>
    </row>
    <row r="105">
      <c r="A105" s="13" t="inlineStr">
        <is>
          <t>TC-B-104</t>
        </is>
      </c>
      <c r="B105" s="14" t="inlineStr">
        <is>
          <t>العملاء المحتملون</t>
        </is>
      </c>
      <c r="C105" s="15" t="inlineStr">
        <is>
          <t>نطاق التعديل على عملاء الآخرين</t>
        </is>
      </c>
      <c r="D105" s="14" t="inlineStr">
        <is>
          <t>lead.write بنطاق own</t>
        </is>
      </c>
      <c r="E105" s="14" t="inlineStr">
        <is>
          <t>1. حاول تعديل عميل يملكه زميل.</t>
        </is>
      </c>
      <c r="F105" s="14" t="inlineStr">
        <is>
          <t>403.</t>
        </is>
      </c>
      <c r="G105" s="13" t="inlineStr">
        <is>
          <t>P1</t>
        </is>
      </c>
      <c r="H105" s="14" t="inlineStr">
        <is>
          <t>صلاحيات</t>
        </is>
      </c>
      <c r="I105" s="13" t="inlineStr">
        <is>
          <t>لم يُختبر</t>
        </is>
      </c>
      <c r="J105" s="14" t="inlineStr"/>
      <c r="K105" s="13" t="inlineStr"/>
      <c r="L105" s="14" t="inlineStr"/>
    </row>
    <row r="106">
      <c r="A106" s="13" t="inlineStr">
        <is>
          <t>TC-B-105</t>
        </is>
      </c>
      <c r="B106" s="14" t="inlineStr">
        <is>
          <t>العملاء المحتملون</t>
        </is>
      </c>
      <c r="C106" s="15" t="inlineStr">
        <is>
          <t>تحويل العميل المحتمل إلى عميل وفرصة</t>
        </is>
      </c>
      <c r="D106" s="14" t="inlineStr">
        <is>
          <t>عميل qualified</t>
        </is>
      </c>
      <c r="E106" s="14" t="inlineStr">
        <is>
          <t>1. اضغط «تحويل» مع createOpportunity=true.
2. حاول التحويل مرة ثانية.</t>
        </is>
      </c>
      <c r="F106" s="14" t="inlineStr">
        <is>
          <t>ينشأ party وفرصة في المرحلة الأولى؛ الحالة converted؛ المحاولة الثانية 400 «lead already converted»، ولا يمكن تعديله بعدها.</t>
        </is>
      </c>
      <c r="G106" s="13" t="inlineStr">
        <is>
          <t>P1</t>
        </is>
      </c>
      <c r="H106" s="14" t="inlineStr">
        <is>
          <t>وظيفي</t>
        </is>
      </c>
      <c r="I106" s="13" t="inlineStr">
        <is>
          <t>لم يُختبر</t>
        </is>
      </c>
      <c r="J106" s="14" t="inlineStr"/>
      <c r="K106" s="13" t="inlineStr"/>
      <c r="L106" s="14" t="inlineStr"/>
    </row>
    <row r="107">
      <c r="A107" s="13" t="inlineStr">
        <is>
          <t>TC-B-106</t>
        </is>
      </c>
      <c r="B107" s="14" t="inlineStr">
        <is>
          <t>العملاء المحتملون</t>
        </is>
      </c>
      <c r="C107" s="15" t="inlineStr">
        <is>
          <t>جوال غير سعودي في النموذج العام</t>
        </is>
      </c>
      <c r="D107" s="14" t="inlineStr">
        <is>
          <t>—</t>
        </is>
      </c>
      <c r="E107" s="14" t="inlineStr">
        <is>
          <t>1. أرسل الجوال 12345678.</t>
        </is>
      </c>
      <c r="F107" s="14" t="inlineStr">
        <is>
          <t>400 «please enter a Saudi mobile number (05XXXXXXXX)».</t>
        </is>
      </c>
      <c r="G107" s="13" t="inlineStr">
        <is>
          <t>P2</t>
        </is>
      </c>
      <c r="H107" s="14" t="inlineStr">
        <is>
          <t>تحقق من المدخلات</t>
        </is>
      </c>
      <c r="I107" s="13" t="inlineStr">
        <is>
          <t>لم يُختبر</t>
        </is>
      </c>
      <c r="J107" s="14" t="inlineStr"/>
      <c r="K107" s="13" t="inlineStr"/>
      <c r="L107" s="14" t="inlineStr"/>
    </row>
    <row r="108">
      <c r="A108" s="13" t="inlineStr">
        <is>
          <t>TC-B-107</t>
        </is>
      </c>
      <c r="B108" s="14" t="inlineStr">
        <is>
          <t>العملاء المحتملون</t>
        </is>
      </c>
      <c r="C108" s="15" t="inlineStr">
        <is>
          <t>حقل الفخ (honeypot) يمنع الروبوتات</t>
        </is>
      </c>
      <c r="D108" s="14" t="inlineStr">
        <is>
          <t>—</t>
        </is>
      </c>
      <c r="E108" s="14" t="inlineStr">
        <is>
          <t>1. أرسل الطلب مع website="x".</t>
        </is>
      </c>
      <c r="F108" s="14" t="inlineStr">
        <is>
          <t>400 تحقق ولا يُنشأ عميل.</t>
        </is>
      </c>
      <c r="G108" s="13" t="inlineStr">
        <is>
          <t>P2</t>
        </is>
      </c>
      <c r="H108" s="14" t="inlineStr">
        <is>
          <t>أمان</t>
        </is>
      </c>
      <c r="I108" s="13" t="inlineStr">
        <is>
          <t>لم يُختبر</t>
        </is>
      </c>
      <c r="J108" s="14" t="inlineStr"/>
      <c r="K108" s="13" t="inlineStr"/>
      <c r="L108" s="14" t="inlineStr"/>
    </row>
    <row r="109">
      <c r="A109" s="13" t="inlineStr">
        <is>
          <t>TC-B-108</t>
        </is>
      </c>
      <c r="B109" s="14" t="inlineStr">
        <is>
          <t>العملاء المحتملون</t>
        </is>
      </c>
      <c r="C109" s="15" t="inlineStr">
        <is>
          <t>حد المعدل 5 طلبات/ساعة لكل IP</t>
        </is>
      </c>
      <c r="D109" s="14" t="inlineStr">
        <is>
          <t>—</t>
        </is>
      </c>
      <c r="E109" s="14" t="inlineStr">
        <is>
          <t>1. أرسل 6 طلبات من نفس IP خلال ساعة.</t>
        </is>
      </c>
      <c r="F109" s="14" t="inlineStr">
        <is>
          <t>السادس 403 «too many submissions».</t>
        </is>
      </c>
      <c r="G109" s="13" t="inlineStr">
        <is>
          <t>P2</t>
        </is>
      </c>
      <c r="H109" s="14" t="inlineStr">
        <is>
          <t>أمان</t>
        </is>
      </c>
      <c r="I109" s="13" t="inlineStr">
        <is>
          <t>لم يُختبر</t>
        </is>
      </c>
      <c r="J109" s="14" t="inlineStr"/>
      <c r="K109" s="13" t="inlineStr"/>
      <c r="L109" s="14" t="inlineStr"/>
    </row>
    <row r="110">
      <c r="A110" s="13" t="inlineStr">
        <is>
          <t>TC-B-109</t>
        </is>
      </c>
      <c r="B110" s="14" t="inlineStr">
        <is>
          <t>العملاء المحتملون</t>
        </is>
      </c>
      <c r="C110" s="15" t="inlineStr">
        <is>
          <t>حساب تقييم العميل المحتمل</t>
        </is>
      </c>
      <c r="D110" s="14" t="inlineStr">
        <is>
          <t>—</t>
        </is>
      </c>
      <c r="E110" s="14" t="inlineStr">
        <is>
          <t>1. أنشئ عميلًا: referral، جوال، بريد، 60 وحدة، اهتمام، مدينة.</t>
        </is>
      </c>
      <c r="F110" s="14" t="inlineStr">
        <is>
          <t>score = 20+5+25+30+10+5 = 95 (بحد أقصى 100).</t>
        </is>
      </c>
      <c r="G110" s="13" t="inlineStr">
        <is>
          <t>P2</t>
        </is>
      </c>
      <c r="H110" s="14" t="inlineStr">
        <is>
          <t>وظيفي</t>
        </is>
      </c>
      <c r="I110" s="13" t="inlineStr">
        <is>
          <t>لم يُختبر</t>
        </is>
      </c>
      <c r="J110" s="14" t="inlineStr"/>
      <c r="K110" s="13" t="inlineStr"/>
      <c r="L110" s="14" t="inlineStr"/>
    </row>
    <row r="111">
      <c r="A111" s="13" t="inlineStr">
        <is>
          <t>TC-B-110</t>
        </is>
      </c>
      <c r="B111" s="14" t="inlineStr">
        <is>
          <t>العملاء المحتملون</t>
        </is>
      </c>
      <c r="C111" s="15" t="inlineStr">
        <is>
          <t>التحويل يتطلب صلاحيتي lead.write و opportunity.write</t>
        </is>
      </c>
      <c r="D111" s="14" t="inlineStr">
        <is>
          <t>دور lead.write فقط</t>
        </is>
      </c>
      <c r="E111" s="14" t="inlineStr">
        <is>
          <t>1. حاول التحويل.</t>
        </is>
      </c>
      <c r="F111" s="14" t="inlineStr">
        <is>
          <t>403.</t>
        </is>
      </c>
      <c r="G111" s="13" t="inlineStr">
        <is>
          <t>P2</t>
        </is>
      </c>
      <c r="H111" s="14" t="inlineStr">
        <is>
          <t>صلاحيات</t>
        </is>
      </c>
      <c r="I111" s="13" t="inlineStr">
        <is>
          <t>لم يُختبر</t>
        </is>
      </c>
      <c r="J111" s="14" t="inlineStr"/>
      <c r="K111" s="13" t="inlineStr"/>
      <c r="L111" s="14" t="inlineStr"/>
    </row>
    <row r="112">
      <c r="A112" s="13" t="inlineStr">
        <is>
          <t>TC-B-111</t>
        </is>
      </c>
      <c r="B112" s="14" t="inlineStr">
        <is>
          <t>العملاء المحتملون</t>
        </is>
      </c>
      <c r="C112" s="15" t="inlineStr">
        <is>
          <t>مصدر غير معروف أو meta</t>
        </is>
      </c>
      <c r="D112" s="14" t="inlineStr">
        <is>
          <t>—</t>
        </is>
      </c>
      <c r="E112" s="14" t="inlineStr">
        <is>
          <t>1. أرسل إلى /webhooks/leads/meta ثم /webhooks/leads/xyz.</t>
        </is>
      </c>
      <c r="F112" s="14" t="inlineStr">
        <is>
          <t>meta → instagram؛ xyz → other.</t>
        </is>
      </c>
      <c r="G112" s="13" t="inlineStr">
        <is>
          <t>P3</t>
        </is>
      </c>
      <c r="H112" s="14" t="inlineStr">
        <is>
          <t>حالات حدّية</t>
        </is>
      </c>
      <c r="I112" s="13" t="inlineStr">
        <is>
          <t>لم يُختبر</t>
        </is>
      </c>
      <c r="J112" s="14" t="inlineStr"/>
      <c r="K112" s="13" t="inlineStr"/>
      <c r="L112" s="14" t="inlineStr"/>
    </row>
    <row r="113">
      <c r="A113" s="13" t="inlineStr">
        <is>
          <t>TC-B-112</t>
        </is>
      </c>
      <c r="B113" s="14" t="inlineStr">
        <is>
          <t>الفرص ومسار البيع</t>
        </is>
      </c>
      <c r="C113" s="15" t="inlineStr">
        <is>
          <t>لوحة المسار بالمراحل والاحتمالات الافتراضية</t>
        </is>
      </c>
      <c r="D113" s="14" t="inlineStr">
        <is>
          <t>مسار افتراضي</t>
        </is>
      </c>
      <c r="E113" s="14" t="inlineStr">
        <is>
          <t>1. افتح «مسار الفرص».</t>
        </is>
      </c>
      <c r="F113" s="14" t="inlineStr">
        <is>
          <t>المراحل: جديد 10%، معاينة الموقع 25%، تم إرسال العرض 50%، تفاوض 70%، تم الفوز 100%، خسارة 0%؛ القيمة المرجحة = المبلغ × الاحتمال مقرّبة للهللة.</t>
        </is>
      </c>
      <c r="G113" s="13" t="inlineStr">
        <is>
          <t>P1</t>
        </is>
      </c>
      <c r="H113" s="14" t="inlineStr">
        <is>
          <t>واجهة وعرض</t>
        </is>
      </c>
      <c r="I113" s="13" t="inlineStr">
        <is>
          <t>لم يُختبر</t>
        </is>
      </c>
      <c r="J113" s="14" t="inlineStr"/>
      <c r="K113" s="13" t="inlineStr"/>
      <c r="L113" s="14" t="inlineStr"/>
    </row>
    <row r="114">
      <c r="A114" s="13" t="inlineStr">
        <is>
          <t>TC-B-113</t>
        </is>
      </c>
      <c r="B114" s="14" t="inlineStr">
        <is>
          <t>الفرص ومسار البيع</t>
        </is>
      </c>
      <c r="C114" s="15" t="inlineStr">
        <is>
          <t>نقل الفرصة إلى «خسارة» يتطلب سببًا</t>
        </is>
      </c>
      <c r="D114" s="14" t="inlineStr">
        <is>
          <t>فرصة مفتوحة</t>
        </is>
      </c>
      <c r="E114" s="14" t="inlineStr">
        <is>
          <t>1. انقلها إلى خسارة بلا lostReasonKey.
2. كرر مع السبب price وملاحظة.</t>
        </is>
      </c>
      <c r="F114" s="14" t="inlineStr">
        <is>
          <t>الأول 400 «a lost reason is required»؛ الثاني ينجح ويُسجّل السبب ويظهر في تقرير أسباب الخسارة.</t>
        </is>
      </c>
      <c r="G114" s="13" t="inlineStr">
        <is>
          <t>P1</t>
        </is>
      </c>
      <c r="H114" s="14" t="inlineStr">
        <is>
          <t>تحقق من المدخلات</t>
        </is>
      </c>
      <c r="I114" s="13" t="inlineStr">
        <is>
          <t>لم يُختبر</t>
        </is>
      </c>
      <c r="J114" s="14" t="inlineStr"/>
      <c r="K114" s="13" t="inlineStr"/>
      <c r="L114" s="14" t="inlineStr"/>
    </row>
    <row r="115">
      <c r="A115" s="13" t="inlineStr">
        <is>
          <t>TC-B-114</t>
        </is>
      </c>
      <c r="B115" s="14" t="inlineStr">
        <is>
          <t>الفرص ومسار البيع</t>
        </is>
      </c>
      <c r="C115" s="15" t="inlineStr">
        <is>
          <t>نطاق رؤية الفرص</t>
        </is>
      </c>
      <c r="D115" s="14" t="inlineStr">
        <is>
          <t>opportunity.read بنطاق team</t>
        </is>
      </c>
      <c r="E115" s="14" t="inlineStr">
        <is>
          <t>1. افتح المسار كمندوب في فريق.</t>
        </is>
      </c>
      <c r="F115" s="14" t="inlineStr">
        <is>
          <t>يرى فرصه وفرص فريقه فقط؛ فلتر ownerId لا يكشف فرص فرق أخرى.</t>
        </is>
      </c>
      <c r="G115" s="13" t="inlineStr">
        <is>
          <t>P1</t>
        </is>
      </c>
      <c r="H115" s="14" t="inlineStr">
        <is>
          <t>صلاحيات</t>
        </is>
      </c>
      <c r="I115" s="13" t="inlineStr">
        <is>
          <t>لم يُختبر</t>
        </is>
      </c>
      <c r="J115" s="14" t="inlineStr"/>
      <c r="K115" s="13" t="inlineStr"/>
      <c r="L115" s="14" t="inlineStr"/>
    </row>
    <row r="116">
      <c r="A116" s="13" t="inlineStr">
        <is>
          <t>TC-B-115</t>
        </is>
      </c>
      <c r="B116" s="14" t="inlineStr">
        <is>
          <t>الفرص ومسار البيع</t>
        </is>
      </c>
      <c r="C116" s="15" t="inlineStr">
        <is>
          <t>نقل الفرصة إلى مرحلة من مسار آخر</t>
        </is>
      </c>
      <c r="D116" s="14" t="inlineStr">
        <is>
          <t>—</t>
        </is>
      </c>
      <c r="E116" s="14" t="inlineStr">
        <is>
          <t>1. أرسل stageId لا ينتمي لمسار الفرصة.</t>
        </is>
      </c>
      <c r="F116" s="14" t="inlineStr">
        <is>
          <t>400 «stage not in this pipeline».</t>
        </is>
      </c>
      <c r="G116" s="13" t="inlineStr">
        <is>
          <t>P2</t>
        </is>
      </c>
      <c r="H116" s="14" t="inlineStr">
        <is>
          <t>تحقق من المدخلات</t>
        </is>
      </c>
      <c r="I116" s="13" t="inlineStr">
        <is>
          <t>لم يُختبر</t>
        </is>
      </c>
      <c r="J116" s="14" t="inlineStr"/>
      <c r="K116" s="13" t="inlineStr"/>
      <c r="L116" s="14" t="inlineStr"/>
    </row>
    <row r="117">
      <c r="A117" s="13" t="inlineStr">
        <is>
          <t>TC-B-116</t>
        </is>
      </c>
      <c r="B117" s="14" t="inlineStr">
        <is>
          <t>الفرص ومسار البيع</t>
        </is>
      </c>
      <c r="C117" s="15" t="inlineStr">
        <is>
          <t>مبلغ الفرصة لا يقبل قيمًا غير صالحة</t>
        </is>
      </c>
      <c r="D117" s="14" t="inlineStr">
        <is>
          <t>—</t>
        </is>
      </c>
      <c r="E117" s="14" t="inlineStr">
        <is>
          <t>1. احفظ فرصة بمبلغ "abc" أو -100.</t>
        </is>
      </c>
      <c r="F117" s="14" t="inlineStr">
        <is>
          <t>400 تحقق zMoney.</t>
        </is>
      </c>
      <c r="G117" s="13" t="inlineStr">
        <is>
          <t>P3</t>
        </is>
      </c>
      <c r="H117" s="14" t="inlineStr">
        <is>
          <t>تحقق من المدخلات</t>
        </is>
      </c>
      <c r="I117" s="13" t="inlineStr">
        <is>
          <t>لم يُختبر</t>
        </is>
      </c>
      <c r="J117" s="14" t="inlineStr"/>
      <c r="K117" s="13" t="inlineStr"/>
      <c r="L117" s="14" t="inlineStr"/>
    </row>
    <row r="118">
      <c r="A118" s="13" t="inlineStr">
        <is>
          <t>TC-B-117</t>
        </is>
      </c>
      <c r="B118" s="14" t="inlineStr">
        <is>
          <t>الأنشطة والمهام</t>
        </is>
      </c>
      <c r="C118" s="15" t="inlineStr">
        <is>
          <t>إضافة مهمة بموعد اليوم تظهر في «مهامي»</t>
        </is>
      </c>
      <c r="D118" s="14" t="inlineStr">
        <is>
          <t>مستخدم activity.write</t>
        </is>
      </c>
      <c r="E118" s="14" t="inlineStr">
        <is>
          <t>1. أضف نشاطًا type=task مرتبطًا بفرصة، dueAt اليوم.</t>
        </is>
      </c>
      <c r="F118" s="14" t="inlineStr">
        <is>
          <t>يظهر في /crm/tasks؛ يحدّث lastActivityAt للفرصة.</t>
        </is>
      </c>
      <c r="G118" s="13" t="inlineStr">
        <is>
          <t>P1</t>
        </is>
      </c>
      <c r="H118" s="14" t="inlineStr">
        <is>
          <t>وظيفي</t>
        </is>
      </c>
      <c r="I118" s="13" t="inlineStr">
        <is>
          <t>لم يُختبر</t>
        </is>
      </c>
      <c r="J118" s="14" t="inlineStr"/>
      <c r="K118" s="13" t="inlineStr"/>
      <c r="L118" s="14" t="inlineStr"/>
    </row>
    <row r="119">
      <c r="A119" s="13" t="inlineStr">
        <is>
          <t>TC-B-118</t>
        </is>
      </c>
      <c r="B119" s="14" t="inlineStr">
        <is>
          <t>الأنشطة والمهام</t>
        </is>
      </c>
      <c r="C119" s="15" t="inlineStr">
        <is>
          <t>نشاط على عميل محتمل جديد يحوّله إلى «تم التواصل»</t>
        </is>
      </c>
      <c r="D119" s="14" t="inlineStr">
        <is>
          <t>عميل حالة new</t>
        </is>
      </c>
      <c r="E119" s="14" t="inlineStr">
        <is>
          <t>1. أضف مكالمة (call) عليه.</t>
        </is>
      </c>
      <c r="F119" s="14" t="inlineStr">
        <is>
          <t>الحالة contacted و firstContactAt يُضبط مرة واحدة فقط.</t>
        </is>
      </c>
      <c r="G119" s="13" t="inlineStr">
        <is>
          <t>P2</t>
        </is>
      </c>
      <c r="H119" s="14" t="inlineStr">
        <is>
          <t>تكامل</t>
        </is>
      </c>
      <c r="I119" s="13" t="inlineStr">
        <is>
          <t>لم يُختبر</t>
        </is>
      </c>
      <c r="J119" s="14" t="inlineStr"/>
      <c r="K119" s="13" t="inlineStr"/>
      <c r="L119" s="14" t="inlineStr"/>
    </row>
    <row r="120">
      <c r="A120" s="13" t="inlineStr">
        <is>
          <t>TC-B-119</t>
        </is>
      </c>
      <c r="B120" s="14" t="inlineStr">
        <is>
          <t>الأنشطة والمهام</t>
        </is>
      </c>
      <c r="C120" s="15" t="inlineStr">
        <is>
          <t>إسناد مهمة لزميل يرسل إشعارًا</t>
        </is>
      </c>
      <c r="D120" s="14" t="inlineStr">
        <is>
          <t>—</t>
        </is>
      </c>
      <c r="E120" s="14" t="inlineStr">
        <is>
          <t>1. أضف مهمة ownerId = زميل.</t>
        </is>
      </c>
      <c r="F120" s="14" t="inlineStr">
        <is>
          <t>يصل للزميل إشعار «مهمة جديدة: …».</t>
        </is>
      </c>
      <c r="G120" s="13" t="inlineStr">
        <is>
          <t>P2</t>
        </is>
      </c>
      <c r="H120" s="14" t="inlineStr">
        <is>
          <t>وظيفي</t>
        </is>
      </c>
      <c r="I120" s="13" t="inlineStr">
        <is>
          <t>لم يُختبر</t>
        </is>
      </c>
      <c r="J120" s="14" t="inlineStr"/>
      <c r="K120" s="13" t="inlineStr"/>
      <c r="L120" s="14" t="inlineStr"/>
    </row>
    <row r="121">
      <c r="A121" s="13" t="inlineStr">
        <is>
          <t>TC-B-120</t>
        </is>
      </c>
      <c r="B121" s="14" t="inlineStr">
        <is>
          <t>الأنشطة والمهام</t>
        </is>
      </c>
      <c r="C121" s="15" t="inlineStr">
        <is>
          <t>منع حذف نشاط منجز</t>
        </is>
      </c>
      <c r="D121" s="14" t="inlineStr">
        <is>
          <t>نشاط done</t>
        </is>
      </c>
      <c r="E121" s="14" t="inlineStr">
        <is>
          <t>1. احذفه.</t>
        </is>
      </c>
      <c r="F121" s="14" t="inlineStr">
        <is>
          <t>400 «completed activities are part of the record and cannot be deleted».</t>
        </is>
      </c>
      <c r="G121" s="13" t="inlineStr">
        <is>
          <t>P2</t>
        </is>
      </c>
      <c r="H121" s="14" t="inlineStr">
        <is>
          <t>حالات حدّية</t>
        </is>
      </c>
      <c r="I121" s="13" t="inlineStr">
        <is>
          <t>لم يُختبر</t>
        </is>
      </c>
      <c r="J121" s="14" t="inlineStr"/>
      <c r="K121" s="13" t="inlineStr"/>
      <c r="L121" s="14" t="inlineStr"/>
    </row>
    <row r="122">
      <c r="A122" s="13" t="inlineStr">
        <is>
          <t>TC-B-121</t>
        </is>
      </c>
      <c r="B122" s="14" t="inlineStr">
        <is>
          <t>الأنشطة والمهام</t>
        </is>
      </c>
      <c r="C122" s="15" t="inlineStr">
        <is>
          <t>dueAt بصيغة غير ISO مع المنطقة الزمنية</t>
        </is>
      </c>
      <c r="D122" s="14" t="inlineStr">
        <is>
          <t>—</t>
        </is>
      </c>
      <c r="E122" s="14" t="inlineStr">
        <is>
          <t>1. أرسل dueAt="2026-10-08 10:00".</t>
        </is>
      </c>
      <c r="F122" s="14" t="inlineStr">
        <is>
          <t>400 تحقق (datetime with offset).</t>
        </is>
      </c>
      <c r="G122" s="13" t="inlineStr">
        <is>
          <t>P3</t>
        </is>
      </c>
      <c r="H122" s="14" t="inlineStr">
        <is>
          <t>تحقق من المدخلات</t>
        </is>
      </c>
      <c r="I122" s="13" t="inlineStr">
        <is>
          <t>لم يُختبر</t>
        </is>
      </c>
      <c r="J122" s="14" t="inlineStr"/>
      <c r="K122" s="13" t="inlineStr"/>
      <c r="L122" s="14" t="inlineStr"/>
    </row>
    <row r="123">
      <c r="A123" s="13" t="inlineStr">
        <is>
          <t>TC-B-122</t>
        </is>
      </c>
      <c r="B123" s="14" t="inlineStr">
        <is>
          <t>صندوق الرسائل</t>
        </is>
      </c>
      <c r="C123" s="15" t="inlineStr">
        <is>
          <t>الرد من صندوق الرسائل (واتساب sandbox)</t>
        </is>
      </c>
      <c r="D123" s="14" t="inlineStr">
        <is>
          <t>محادثة مفتوحة؛ message.send</t>
        </is>
      </c>
      <c r="E123" s="14" t="inlineStr">
        <is>
          <t>1. اكتب ردًا نصيًا وأرسل.</t>
        </is>
      </c>
      <c r="F123" s="14" t="inlineStr">
        <is>
          <t>تظهر الرسالة الصادرة في المحادثة وتُسجل كمحاكاة دون إرسال فعلي.</t>
        </is>
      </c>
      <c r="G123" s="13" t="inlineStr">
        <is>
          <t>P2</t>
        </is>
      </c>
      <c r="H123" s="14" t="inlineStr">
        <is>
          <t>تكامل</t>
        </is>
      </c>
      <c r="I123" s="13" t="inlineStr">
        <is>
          <t>لم يُختبر</t>
        </is>
      </c>
      <c r="J123" s="14" t="inlineStr"/>
      <c r="K123" s="13" t="inlineStr"/>
      <c r="L123" s="14" t="inlineStr"/>
    </row>
    <row r="124">
      <c r="A124" s="13" t="inlineStr">
        <is>
          <t>TC-B-123</t>
        </is>
      </c>
      <c r="B124" s="14" t="inlineStr">
        <is>
          <t>صندوق الرسائل</t>
        </is>
      </c>
      <c r="C124" s="15" t="inlineStr">
        <is>
          <t>webhook واتساب: التحقق من hub.verify_token</t>
        </is>
      </c>
      <c r="D124" s="14" t="inlineStr">
        <is>
          <t>—</t>
        </is>
      </c>
      <c r="E124" s="14" t="inlineStr">
        <is>
          <t>1. GET /webhooks/whatsapp?hub.mode=subscribe&amp;hub.verify_token=صحيح&amp;hub.challenge=123
2. كرر برمز خاطئ.</t>
        </is>
      </c>
      <c r="F124" s="14" t="inlineStr">
        <is>
          <t>الأول 200 ويعيد 123؛ الثاني رفض.</t>
        </is>
      </c>
      <c r="G124" s="13" t="inlineStr">
        <is>
          <t>P2</t>
        </is>
      </c>
      <c r="H124" s="14" t="inlineStr">
        <is>
          <t>أمان</t>
        </is>
      </c>
      <c r="I124" s="13" t="inlineStr">
        <is>
          <t>لم يُختبر</t>
        </is>
      </c>
      <c r="J124" s="14" t="inlineStr"/>
      <c r="K124" s="13" t="inlineStr"/>
      <c r="L124" s="14" t="inlineStr"/>
    </row>
    <row r="125">
      <c r="A125" s="13" t="inlineStr">
        <is>
          <t>TC-B-124</t>
        </is>
      </c>
      <c r="B125" s="14" t="inlineStr">
        <is>
          <t>صندوق الرسائل</t>
        </is>
      </c>
      <c r="C125" s="15" t="inlineStr">
        <is>
          <t>الرد يتطلب نصًا أو قالبًا</t>
        </is>
      </c>
      <c r="D125" s="14" t="inlineStr">
        <is>
          <t>—</t>
        </is>
      </c>
      <c r="E125" s="14" t="inlineStr">
        <is>
          <t>1. أرسل رد بلا body ولا templateKey.
2. أرسل body بطول 4097.</t>
        </is>
      </c>
      <c r="F125" s="14" t="inlineStr">
        <is>
          <t>400 «body or templateKey required» ثم 400 تحقق الطول.</t>
        </is>
      </c>
      <c r="G125" s="13" t="inlineStr">
        <is>
          <t>P3</t>
        </is>
      </c>
      <c r="H125" s="14" t="inlineStr">
        <is>
          <t>تحقق من المدخلات</t>
        </is>
      </c>
      <c r="I125" s="13" t="inlineStr">
        <is>
          <t>لم يُختبر</t>
        </is>
      </c>
      <c r="J125" s="14" t="inlineStr"/>
      <c r="K125" s="13" t="inlineStr"/>
      <c r="L125" s="14" t="inlineStr"/>
    </row>
    <row r="126">
      <c r="A126" s="13" t="inlineStr">
        <is>
          <t>TC-B-125</t>
        </is>
      </c>
      <c r="B126" s="14" t="inlineStr">
        <is>
          <t>صندوق الرسائل</t>
        </is>
      </c>
      <c r="C126" s="15" t="inlineStr">
        <is>
          <t>إسناد وإغلاق المحادثة</t>
        </is>
      </c>
      <c r="D126" s="14" t="inlineStr">
        <is>
          <t>—</t>
        </is>
      </c>
      <c r="E126" s="14" t="inlineStr">
        <is>
          <t>1. أسند المحادثة لزميل ثم أغلقها.</t>
        </is>
      </c>
      <c r="F126" s="14" t="inlineStr">
        <is>
          <t>إشعار للزميل؛ المحادثة تختفي من status=open وتظهر في closed.</t>
        </is>
      </c>
      <c r="G126" s="13" t="inlineStr">
        <is>
          <t>P3</t>
        </is>
      </c>
      <c r="H126" s="14" t="inlineStr">
        <is>
          <t>وظيفي</t>
        </is>
      </c>
      <c r="I126" s="13" t="inlineStr">
        <is>
          <t>لم يُختبر</t>
        </is>
      </c>
      <c r="J126" s="14" t="inlineStr"/>
      <c r="K126" s="13" t="inlineStr"/>
      <c r="L126" s="14" t="inlineStr"/>
    </row>
    <row r="127">
      <c r="A127" s="13" t="inlineStr">
        <is>
          <t>TC-B-126</t>
        </is>
      </c>
      <c r="B127" s="14" t="inlineStr">
        <is>
          <t>المستهدفات والحصص</t>
        </is>
      </c>
      <c r="C127" s="15" t="inlineStr">
        <is>
          <t>تعيين مستهدف مبيعات بواسطة المدير</t>
        </is>
      </c>
      <c r="D127" s="14" t="inlineStr">
        <is>
          <t>مستخدم admin.settings</t>
        </is>
      </c>
      <c r="E127" s="14" t="inlineStr">
        <is>
          <t>1. المستهدفات ← لمندوب: الفترة الشهر الحالي والمبلغ 100,000.</t>
        </is>
      </c>
      <c r="F127" s="14" t="inlineStr">
        <is>
          <t>يُحفظ ويظهر المحقق مقابل المستهدف في GET /crm/targets.</t>
        </is>
      </c>
      <c r="G127" s="13" t="inlineStr">
        <is>
          <t>P2</t>
        </is>
      </c>
      <c r="H127" s="14" t="inlineStr">
        <is>
          <t>وظيفي</t>
        </is>
      </c>
      <c r="I127" s="13" t="inlineStr">
        <is>
          <t>لم يُختبر</t>
        </is>
      </c>
      <c r="J127" s="14" t="inlineStr"/>
      <c r="K127" s="13" t="inlineStr"/>
      <c r="L127" s="14" t="inlineStr"/>
    </row>
    <row r="128">
      <c r="A128" s="13" t="inlineStr">
        <is>
          <t>TC-B-127</t>
        </is>
      </c>
      <c r="B128" s="14" t="inlineStr">
        <is>
          <t>المستهدفات والحصص</t>
        </is>
      </c>
      <c r="C128" s="15" t="inlineStr">
        <is>
          <t>المندوب لا يضع مستهدفاته</t>
        </is>
      </c>
      <c r="D128" s="14" t="inlineStr">
        <is>
          <t>opportunity.write بنطاق own وبلا admin.settings</t>
        </is>
      </c>
      <c r="E128" s="14" t="inlineStr">
        <is>
          <t>1. PUT /crm/targets/:id.</t>
        </is>
      </c>
      <c r="F128" s="14" t="inlineStr">
        <is>
          <t>400 «targets are set by managers».</t>
        </is>
      </c>
      <c r="G128" s="13" t="inlineStr">
        <is>
          <t>P2</t>
        </is>
      </c>
      <c r="H128" s="14" t="inlineStr">
        <is>
          <t>صلاحيات</t>
        </is>
      </c>
      <c r="I128" s="13" t="inlineStr">
        <is>
          <t>لم يُختبر</t>
        </is>
      </c>
      <c r="J128" s="14" t="inlineStr"/>
      <c r="K128" s="13" t="inlineStr"/>
      <c r="L128" s="14" t="inlineStr"/>
    </row>
    <row r="129">
      <c r="A129" s="13" t="inlineStr">
        <is>
          <t>TC-B-128</t>
        </is>
      </c>
      <c r="B129" s="14" t="inlineStr">
        <is>
          <t>العمولات وحوافز الفنيين</t>
        </is>
      </c>
      <c r="C129" s="15" t="inlineStr">
        <is>
          <t>إنشاء خطة عمولة 2% على الإيراد مع مستوى ×1.5 فوق 120%</t>
        </is>
      </c>
      <c r="D129" s="14" t="inlineStr">
        <is>
          <t>commission.manage</t>
        </is>
      </c>
      <c r="E129" s="14" t="inlineStr">
        <is>
          <t>1. العمولات ← الخطط ← جديد: basis=revenue، ratePercent=2، tiers=[{fromPercent:120,multiplier:1.5}].</t>
        </is>
      </c>
      <c r="F129" s="14" t="inlineStr">
        <is>
          <t>تُحفظ الخطة بمستواها.</t>
        </is>
      </c>
      <c r="G129" s="13" t="inlineStr">
        <is>
          <t>P1</t>
        </is>
      </c>
      <c r="H129" s="14" t="inlineStr">
        <is>
          <t>وظيفي</t>
        </is>
      </c>
      <c r="I129" s="13" t="inlineStr">
        <is>
          <t>لم يُختبر</t>
        </is>
      </c>
      <c r="J129" s="14" t="inlineStr"/>
      <c r="K129" s="13" t="inlineStr"/>
      <c r="L129" s="14" t="inlineStr"/>
    </row>
    <row r="130">
      <c r="A130" s="13" t="inlineStr">
        <is>
          <t>TC-B-129</t>
        </is>
      </c>
      <c r="B130" s="14" t="inlineStr">
        <is>
          <t>العمولات وحوافز الفنيين</t>
        </is>
      </c>
      <c r="C130" s="15" t="inlineStr">
        <is>
          <t>العمولة تُستحق على 388 فقط وليس 386</t>
        </is>
      </c>
      <c r="D130" s="14" t="inlineStr">
        <is>
          <t>خطة 2% revenue؛ عقد مالكه المندوب أ</t>
        </is>
      </c>
      <c r="E130" s="14" t="inlineStr">
        <is>
          <t>1. أكمل الدفعة الأولى (386).
2. افتح «أرباحي» للمندوب.
3. أصدر 388 النهائية.</t>
        </is>
      </c>
      <c r="F130" s="14" t="inlineStr">
        <is>
          <t>بعد 386: لا عمولة؛ بعد 388: earned = 2% من صافي البنود بدون ضريبة.</t>
        </is>
      </c>
      <c r="G130" s="13" t="inlineStr">
        <is>
          <t>P1</t>
        </is>
      </c>
      <c r="H130" s="14" t="inlineStr">
        <is>
          <t>تكامل</t>
        </is>
      </c>
      <c r="I130" s="13" t="inlineStr">
        <is>
          <t>لم يُختبر</t>
        </is>
      </c>
      <c r="J130" s="14" t="inlineStr"/>
      <c r="K130" s="13" t="inlineStr"/>
      <c r="L130" s="14" t="inlineStr"/>
    </row>
    <row r="131">
      <c r="A131" s="13" t="inlineStr">
        <is>
          <t>TC-B-130</t>
        </is>
      </c>
      <c r="B131" s="14" t="inlineStr">
        <is>
          <t>العمولات وحوافز الفنيين</t>
        </is>
      </c>
      <c r="C131" s="15" t="inlineStr">
        <is>
          <t>العمولة قابلة للصرف بنسبة التحصيل</t>
        </is>
      </c>
      <c r="D131" s="14" t="inlineStr">
        <is>
          <t>388 إجماليها 11,500 شامل الضريبة؛ earned=200؛ المحصّل (مقدمات+مخصصات) 5,750</t>
        </is>
      </c>
      <c r="E131" s="14" t="inlineStr">
        <is>
          <t>1. افتح قيود العمولة.</t>
        </is>
      </c>
      <c r="F131" s="14" t="inlineStr">
        <is>
          <t>payable = floor(200 × 5750/11500) = 100.00؛ الحالة payable؛ لا يتجاوز earned أبدًا.</t>
        </is>
      </c>
      <c r="G131" s="13" t="inlineStr">
        <is>
          <t>P1</t>
        </is>
      </c>
      <c r="H131" s="14" t="inlineStr">
        <is>
          <t>حالات حدّية</t>
        </is>
      </c>
      <c r="I131" s="13" t="inlineStr">
        <is>
          <t>لم يُختبر</t>
        </is>
      </c>
      <c r="J131" s="14" t="inlineStr"/>
      <c r="K131" s="13" t="inlineStr"/>
      <c r="L131" s="14" t="inlineStr"/>
    </row>
    <row r="132">
      <c r="A132" s="13" t="inlineStr">
        <is>
          <t>TC-B-131</t>
        </is>
      </c>
      <c r="B132" s="14" t="inlineStr">
        <is>
          <t>العمولات وحوافز الفنيين</t>
        </is>
      </c>
      <c r="C132" s="15" t="inlineStr">
        <is>
          <t>الإشعار الدائن 381 يسترد العمولة</t>
        </is>
      </c>
      <c r="D132" s="14" t="inlineStr">
        <is>
          <t>388 بعمولة 200 ثم 381 بقيمة 10% من الصافي</t>
        </is>
      </c>
      <c r="E132" s="14" t="inlineStr">
        <is>
          <t>1. أصدر 381.
2. افتح القيود.</t>
        </is>
      </c>
      <c r="F132" s="14" t="inlineStr">
        <is>
          <t>قيد سالب -20.00 للمندوب نفسه (يتبع الفاتورة الأصلية).</t>
        </is>
      </c>
      <c r="G132" s="13" t="inlineStr">
        <is>
          <t>P1</t>
        </is>
      </c>
      <c r="H132" s="14" t="inlineStr">
        <is>
          <t>تكامل</t>
        </is>
      </c>
      <c r="I132" s="13" t="inlineStr">
        <is>
          <t>لم يُختبر</t>
        </is>
      </c>
      <c r="J132" s="14" t="inlineStr"/>
      <c r="K132" s="13" t="inlineStr"/>
      <c r="L132" s="14" t="inlineStr"/>
    </row>
    <row r="133">
      <c r="A133" s="13" t="inlineStr">
        <is>
          <t>TC-B-132</t>
        </is>
      </c>
      <c r="B133" s="14" t="inlineStr">
        <is>
          <t>العمولات وحوافز الفنيين</t>
        </is>
      </c>
      <c r="C133" s="15" t="inlineStr">
        <is>
          <t>تقسيم العمولة 50/50 بين مندوبين بالهللة</t>
        </is>
      </c>
      <c r="D133" s="14" t="inlineStr">
        <is>
          <t>commission.manage؛ عقد مالكه أ</t>
        </is>
      </c>
      <c r="E133" s="14" t="inlineStr">
        <is>
          <t>1. PUT /commissions/splits/:contractId: أ 50، ب 50.
2. أصدر 388 بعمولة 100.01.</t>
        </is>
      </c>
      <c r="F133" s="14" t="inlineStr">
        <is>
          <t>أ 50.01 و ب 50.00 (أكبر باقي، التعادل للأسبق)؛ المجموع 100.01.</t>
        </is>
      </c>
      <c r="G133" s="13" t="inlineStr">
        <is>
          <t>P1</t>
        </is>
      </c>
      <c r="H133" s="14" t="inlineStr">
        <is>
          <t>حالات حدّية</t>
        </is>
      </c>
      <c r="I133" s="13" t="inlineStr">
        <is>
          <t>لم يُختبر</t>
        </is>
      </c>
      <c r="J133" s="14" t="inlineStr"/>
      <c r="K133" s="13" t="inlineStr"/>
      <c r="L133" s="14" t="inlineStr"/>
    </row>
    <row r="134">
      <c r="A134" s="13" t="inlineStr">
        <is>
          <t>TC-B-133</t>
        </is>
      </c>
      <c r="B134" s="14" t="inlineStr">
        <is>
          <t>العمولات وحوافز الفنيين</t>
        </is>
      </c>
      <c r="C134" s="15" t="inlineStr">
        <is>
          <t>المضاعف عند تجاوز الهدف الشهري</t>
        </is>
      </c>
      <c r="D134" s="14" t="inlineStr">
        <is>
          <t>حصة شهرية 100,000؛ إيراد المندوب الشهري 125,000 (بعد خصم 381)</t>
        </is>
      </c>
      <c r="E134" s="14" t="inlineStr">
        <is>
          <t>1. أعد الحساب (POST /commissions/recalc).</t>
        </is>
      </c>
      <c r="F134" s="14" t="inlineStr">
        <is>
          <t>attainment=125.00% → multiplier 1.5 يُطبق على earned (تقريب نصفي)؛ بدون حصة لا يُطبق أي مضاعف.</t>
        </is>
      </c>
      <c r="G134" s="13" t="inlineStr">
        <is>
          <t>P1</t>
        </is>
      </c>
      <c r="H134" s="14" t="inlineStr">
        <is>
          <t>وظيفي</t>
        </is>
      </c>
      <c r="I134" s="13" t="inlineStr">
        <is>
          <t>لم يُختبر</t>
        </is>
      </c>
      <c r="J134" s="14" t="inlineStr"/>
      <c r="K134" s="13" t="inlineStr"/>
      <c r="L134" s="14" t="inlineStr"/>
    </row>
    <row r="135">
      <c r="A135" s="13" t="inlineStr">
        <is>
          <t>TC-B-134</t>
        </is>
      </c>
      <c r="B135" s="14" t="inlineStr">
        <is>
          <t>العمولات وحوافز الفنيين</t>
        </is>
      </c>
      <c r="C135" s="15" t="inlineStr">
        <is>
          <t>«أرباحي» يعرض أرقام المندوب فقط</t>
        </is>
      </c>
      <c r="D135" s="14" t="inlineStr">
        <is>
          <t>commission.read بنطاق own</t>
        </is>
      </c>
      <c r="E135" s="14" t="inlineStr">
        <is>
          <t>1. افتح «أرباحي» و GET /commissions/entries.</t>
        </is>
      </c>
      <c r="F135" s="14" t="inlineStr">
        <is>
          <t>يرى قيوده فقط ونسبة تحقيق الهدف والمستوى التالي؛ لا يرى قيود زملائه.</t>
        </is>
      </c>
      <c r="G135" s="13" t="inlineStr">
        <is>
          <t>P1</t>
        </is>
      </c>
      <c r="H135" s="14" t="inlineStr">
        <is>
          <t>صلاحيات</t>
        </is>
      </c>
      <c r="I135" s="13" t="inlineStr">
        <is>
          <t>لم يُختبر</t>
        </is>
      </c>
      <c r="J135" s="14" t="inlineStr"/>
      <c r="K135" s="13" t="inlineStr"/>
      <c r="L135" s="14" t="inlineStr"/>
    </row>
    <row r="136">
      <c r="A136" s="13" t="inlineStr">
        <is>
          <t>TC-B-135</t>
        </is>
      </c>
      <c r="B136" s="14" t="inlineStr">
        <is>
          <t>العمولات وحوافز الفنيين</t>
        </is>
      </c>
      <c r="C136" s="15" t="inlineStr">
        <is>
          <t>تعليم العمولات كمدفوعة</t>
        </is>
      </c>
      <c r="D136" s="14" t="inlineStr">
        <is>
          <t>قيود payable للفترة 2026-10</t>
        </is>
      </c>
      <c r="E136" s="14" t="inlineStr">
        <is>
          <t>1. اختر القيود واضغط «تعليم كمدفوع» (mark-paid).
2. أعد العملية على القيود نفسها.</t>
        </is>
      </c>
      <c r="F136" s="14" t="inlineStr">
        <is>
          <t>تتحول إلى paid؛ الثانية 400 «nothing outstanding on the selected entries».</t>
        </is>
      </c>
      <c r="G136" s="13" t="inlineStr">
        <is>
          <t>P1</t>
        </is>
      </c>
      <c r="H136" s="14" t="inlineStr">
        <is>
          <t>وظيفي</t>
        </is>
      </c>
      <c r="I136" s="13" t="inlineStr">
        <is>
          <t>لم يُختبر</t>
        </is>
      </c>
      <c r="J136" s="14" t="inlineStr"/>
      <c r="K136" s="13" t="inlineStr"/>
      <c r="L136" s="14" t="inlineStr"/>
    </row>
    <row r="137">
      <c r="A137" s="13" t="inlineStr">
        <is>
          <t>TC-B-136</t>
        </is>
      </c>
      <c r="B137" s="14" t="inlineStr">
        <is>
          <t>العمولات وحوافز الفنيين</t>
        </is>
      </c>
      <c r="C137" s="15" t="inlineStr">
        <is>
          <t>تصدير CSV للرواتب</t>
        </is>
      </c>
      <c r="D137" s="14" t="inlineStr">
        <is>
          <t>commission.manage</t>
        </is>
      </c>
      <c r="E137" s="14" t="inlineStr">
        <is>
          <t>1. GET /commissions/export?period=2026-10.</t>
        </is>
      </c>
      <c r="F137" s="14" t="inlineStr">
        <is>
          <t>ملف commissions-2026-10.csv بأعمدة employee,email,amount,entries,period؛ يُستبعد من مبلغه صفر؛ الأسماء العربية سليمة UTF-8؛ الخلايا محمية من حقن الصيغ (=,+,-,@).</t>
        </is>
      </c>
      <c r="G137" s="13" t="inlineStr">
        <is>
          <t>P1</t>
        </is>
      </c>
      <c r="H137" s="14" t="inlineStr">
        <is>
          <t>أمان</t>
        </is>
      </c>
      <c r="I137" s="13" t="inlineStr">
        <is>
          <t>لم يُختبر</t>
        </is>
      </c>
      <c r="J137" s="14" t="inlineStr"/>
      <c r="K137" s="13" t="inlineStr"/>
      <c r="L137" s="14" t="inlineStr"/>
    </row>
    <row r="138">
      <c r="A138" s="13" t="inlineStr">
        <is>
          <t>TC-B-137</t>
        </is>
      </c>
      <c r="B138" s="14" t="inlineStr">
        <is>
          <t>العمولات وحوافز الفنيين</t>
        </is>
      </c>
      <c r="C138" s="15" t="inlineStr">
        <is>
          <t>تحقق مدخلات الخطة</t>
        </is>
      </c>
      <c r="D138" s="14" t="inlineStr">
        <is>
          <t>—</t>
        </is>
      </c>
      <c r="E138" s="14" t="inlineStr">
        <is>
          <t>1. ratePercent=100.5 ثم 2.12345.
2. مستويان بنفس fromPercent.
3. validFrom بعد validTo.</t>
        </is>
      </c>
      <c r="F138" s="14" t="inlineStr">
        <is>
          <t>400 لكل حالة (percent 0–100 بأربع منازل، tier thresholds must be unique، validFrom must be before validTo).</t>
        </is>
      </c>
      <c r="G138" s="13" t="inlineStr">
        <is>
          <t>P2</t>
        </is>
      </c>
      <c r="H138" s="14" t="inlineStr">
        <is>
          <t>تحقق من المدخلات</t>
        </is>
      </c>
      <c r="I138" s="13" t="inlineStr">
        <is>
          <t>لم يُختبر</t>
        </is>
      </c>
      <c r="J138" s="14" t="inlineStr"/>
      <c r="K138" s="13" t="inlineStr"/>
      <c r="L138" s="14" t="inlineStr"/>
    </row>
    <row r="139">
      <c r="A139" s="13" t="inlineStr">
        <is>
          <t>TC-B-138</t>
        </is>
      </c>
      <c r="B139" s="14" t="inlineStr">
        <is>
          <t>العمولات وحوافز الفنيين</t>
        </is>
      </c>
      <c r="C139" s="15" t="inlineStr">
        <is>
          <t>خطة على الهامش: الهامش السالب لا يكسب</t>
        </is>
      </c>
      <c r="D139" s="14" t="inlineStr">
        <is>
          <t>خطة basis=margin 10%؛ بند تكلفته أعلى من سعره</t>
        </is>
      </c>
      <c r="E139" s="14" t="inlineStr">
        <is>
          <t>1. أصدر 388.</t>
        </is>
      </c>
      <c r="F139" s="14" t="inlineStr">
        <is>
          <t>عمولة البند 0 (لا سالب على البيع)، بينما 381 على هامش يسترد بإشارة سالبة.</t>
        </is>
      </c>
      <c r="G139" s="13" t="inlineStr">
        <is>
          <t>P2</t>
        </is>
      </c>
      <c r="H139" s="14" t="inlineStr">
        <is>
          <t>حالات حدّية</t>
        </is>
      </c>
      <c r="I139" s="13" t="inlineStr">
        <is>
          <t>لم يُختبر</t>
        </is>
      </c>
      <c r="J139" s="14" t="inlineStr"/>
      <c r="K139" s="13" t="inlineStr"/>
      <c r="L139" s="14" t="inlineStr"/>
    </row>
    <row r="140">
      <c r="A140" s="13" t="inlineStr">
        <is>
          <t>TC-B-139</t>
        </is>
      </c>
      <c r="B140" s="14" t="inlineStr">
        <is>
          <t>العمولات وحوافز الفنيين</t>
        </is>
      </c>
      <c r="C140" s="15" t="inlineStr">
        <is>
          <t>تقسيم لا يساوي 100 أو مندوب مكرر</t>
        </is>
      </c>
      <c r="D140" s="14" t="inlineStr">
        <is>
          <t>—</t>
        </is>
      </c>
      <c r="E140" s="14" t="inlineStr">
        <is>
          <t>1. أرسل 60/30.
2. أرسل أ مرتين.
3. أرسل حصة 0.</t>
        </is>
      </c>
      <c r="F140" s="14" t="inlineStr">
        <is>
          <t>400 «shares must total 100» / «a rep appears twice» / «each share must be between 0 and 100».</t>
        </is>
      </c>
      <c r="G140" s="13" t="inlineStr">
        <is>
          <t>P2</t>
        </is>
      </c>
      <c r="H140" s="14" t="inlineStr">
        <is>
          <t>تحقق من المدخلات</t>
        </is>
      </c>
      <c r="I140" s="13" t="inlineStr">
        <is>
          <t>لم يُختبر</t>
        </is>
      </c>
      <c r="J140" s="14" t="inlineStr"/>
      <c r="K140" s="13" t="inlineStr"/>
      <c r="L140" s="14" t="inlineStr"/>
    </row>
    <row r="141">
      <c r="A141" s="13" t="inlineStr">
        <is>
          <t>TC-B-140</t>
        </is>
      </c>
      <c r="B141" s="14" t="inlineStr">
        <is>
          <t>العمولات وحوافز الفنيين</t>
        </is>
      </c>
      <c r="C141" s="15" t="inlineStr">
        <is>
          <t>mark-paid بمعرف غير موجود أو فترة خاطئة</t>
        </is>
      </c>
      <c r="D141" s="14" t="inlineStr">
        <is>
          <t>—</t>
        </is>
      </c>
      <c r="E141" s="14" t="inlineStr">
        <is>
          <t>1. أرسل entryIds يتضمن UUID غير موجود.
2. أرسل period=2026-13.</t>
        </is>
      </c>
      <c r="F141" s="14" t="inlineStr">
        <is>
          <t>404 «commission entry» ثم 400 (YYYY-MM).</t>
        </is>
      </c>
      <c r="G141" s="13" t="inlineStr">
        <is>
          <t>P2</t>
        </is>
      </c>
      <c r="H141" s="14" t="inlineStr">
        <is>
          <t>تحقق من المدخلات</t>
        </is>
      </c>
      <c r="I141" s="13" t="inlineStr">
        <is>
          <t>لم يُختبر</t>
        </is>
      </c>
      <c r="J141" s="14" t="inlineStr"/>
      <c r="K141" s="13" t="inlineStr"/>
      <c r="L141" s="14" t="inlineStr"/>
    </row>
    <row r="142">
      <c r="A142" s="13" t="inlineStr">
        <is>
          <t>TC-B-141</t>
        </is>
      </c>
      <c r="B142" s="14" t="inlineStr">
        <is>
          <t>العمولات وحوافز الفنيين</t>
        </is>
      </c>
      <c r="C142" s="15" t="inlineStr">
        <is>
          <t>العمولة المدفوعة لا تُحذف عند إعادة الحساب</t>
        </is>
      </c>
      <c r="D142" s="14" t="inlineStr">
        <is>
          <t>قيد paid ثم أُلغيت فاتورته</t>
        </is>
      </c>
      <c r="E142" s="14" t="inlineStr">
        <is>
          <t>1. أعد الحساب.</t>
        </is>
      </c>
      <c r="F142" s="14" t="inlineStr">
        <is>
          <t>القيد المدفوع يبقى (تُحذف فقط القيود القديمة بلا مدفوع)؛ يظهر الاسترداد كقيد سالب.</t>
        </is>
      </c>
      <c r="G142" s="13" t="inlineStr">
        <is>
          <t>P2</t>
        </is>
      </c>
      <c r="H142" s="14" t="inlineStr">
        <is>
          <t>حالات حدّية</t>
        </is>
      </c>
      <c r="I142" s="13" t="inlineStr">
        <is>
          <t>لم يُختبر</t>
        </is>
      </c>
      <c r="J142" s="14" t="inlineStr"/>
      <c r="K142" s="13" t="inlineStr"/>
      <c r="L142" s="14" t="inlineStr"/>
    </row>
    <row r="143">
      <c r="A143" s="13" t="inlineStr">
        <is>
          <t>TC-B-142</t>
        </is>
      </c>
      <c r="B143" s="14" t="inlineStr">
        <is>
          <t>العمولات وحوافز الفنيين</t>
        </is>
      </c>
      <c r="C143" s="15" t="inlineStr">
        <is>
          <t>حوافز الفنيين وفق القواعد الافتراضية</t>
        </is>
      </c>
      <c r="D143" s="14" t="inlineStr">
        <is>
          <t>أوامر عمل الفترة: تركيب 12 جهازًا، إصلاح من أول زيارة 2، عودة 1، رضا ≥4 مع توقيع 3</t>
        </is>
      </c>
      <c r="E143" s="14" t="inlineStr">
        <is>
          <t>1. افتح العمولات ← الفنيون للفترة.</t>
        </is>
      </c>
      <c r="F143" s="14" t="inlineStr">
        <is>
          <t>الإجمالي = 12×10 + 2×25 − 1×25 + 3×10 = 175.00 ريال؛ لا ينزل عن صفر.</t>
        </is>
      </c>
      <c r="G143" s="13" t="inlineStr">
        <is>
          <t>P2</t>
        </is>
      </c>
      <c r="H143" s="14" t="inlineStr">
        <is>
          <t>وظيفي</t>
        </is>
      </c>
      <c r="I143" s="13" t="inlineStr">
        <is>
          <t>لم يُختبر</t>
        </is>
      </c>
      <c r="J143" s="14" t="inlineStr"/>
      <c r="K143" s="13" t="inlineStr"/>
      <c r="L143" s="14" t="inlineStr"/>
    </row>
    <row r="144">
      <c r="A144" s="13" t="inlineStr">
        <is>
          <t>TC-B-143</t>
        </is>
      </c>
      <c r="B144" s="14" t="inlineStr">
        <is>
          <t>العمولات وحوافز الفنيين</t>
        </is>
      </c>
      <c r="C144" s="15" t="inlineStr">
        <is>
          <t>تعديل قواعد الحوافز يتطلب commission.manage</t>
        </is>
      </c>
      <c r="D144" s="14" t="inlineStr">
        <is>
          <t>مستخدم commission.read</t>
        </is>
      </c>
      <c r="E144" s="14" t="inlineStr">
        <is>
          <t>1. PUT /commissions/technician-rules.
2. أرسل callbackWindowDays=0 بصلاحية صحيحة.
3. from بعد to في /technicians.</t>
        </is>
      </c>
      <c r="F144" s="14" t="inlineStr">
        <is>
          <t>403؛ 400 تحقق (1–365)؛ 400 «from must be before to».</t>
        </is>
      </c>
      <c r="G144" s="13" t="inlineStr">
        <is>
          <t>P2</t>
        </is>
      </c>
      <c r="H144" s="14" t="inlineStr">
        <is>
          <t>صلاحيات</t>
        </is>
      </c>
      <c r="I144" s="13" t="inlineStr">
        <is>
          <t>لم يُختبر</t>
        </is>
      </c>
      <c r="J144" s="14" t="inlineStr"/>
      <c r="K144" s="13" t="inlineStr"/>
      <c r="L144" s="14" t="inlineStr"/>
    </row>
    <row r="145">
      <c r="A145" s="13" t="inlineStr">
        <is>
          <t>TC-B-144</t>
        </is>
      </c>
      <c r="B145" s="14" t="inlineStr">
        <is>
          <t>العمولات وحوافز الفنيين</t>
        </is>
      </c>
      <c r="C145" s="15" t="inlineStr">
        <is>
          <t>لوحة الترتيب حسب النطاق</t>
        </is>
      </c>
      <c r="D145" s="14" t="inlineStr">
        <is>
          <t>commission.read بنطاق team</t>
        </is>
      </c>
      <c r="E145" s="14" t="inlineStr">
        <is>
          <t>1. افتح leaderboard.</t>
        </is>
      </c>
      <c r="F145" s="14" t="inlineStr">
        <is>
          <t>تعرض الفريق فقط.</t>
        </is>
      </c>
      <c r="G145" s="13" t="inlineStr">
        <is>
          <t>P3</t>
        </is>
      </c>
      <c r="H145" s="14" t="inlineStr">
        <is>
          <t>صلاحيات</t>
        </is>
      </c>
      <c r="I145" s="13" t="inlineStr">
        <is>
          <t>لم يُختبر</t>
        </is>
      </c>
      <c r="J145" s="14" t="inlineStr"/>
      <c r="K145" s="13" t="inlineStr"/>
      <c r="L145" s="14" t="inlineStr"/>
    </row>
    <row r="146">
      <c r="A146" s="13" t="inlineStr">
        <is>
          <t>TC-B-145</t>
        </is>
      </c>
      <c r="B146" s="14" t="inlineStr">
        <is>
          <t>العمولات وحوافز الفنيين</t>
        </is>
      </c>
      <c r="C146" s="15" t="inlineStr">
        <is>
          <t>الحصص الشهرية</t>
        </is>
      </c>
      <c r="D146" s="14" t="inlineStr">
        <is>
          <t>commission.manage</t>
        </is>
      </c>
      <c r="E146" s="14" t="inlineStr">
        <is>
          <t>1. PUT /commissions/quotas period=2026-10 لمندوبين، أحدهما amount=null.</t>
        </is>
      </c>
      <c r="F146" s="14" t="inlineStr">
        <is>
          <t>تُحفظ الأولى وتُحذف/تُلغى الثانية؛ مبلغ بثلاث منازل يُرفض.</t>
        </is>
      </c>
      <c r="G146" s="13" t="inlineStr">
        <is>
          <t>P3</t>
        </is>
      </c>
      <c r="H146" s="14" t="inlineStr">
        <is>
          <t>تحقق من المدخلات</t>
        </is>
      </c>
      <c r="I146" s="13" t="inlineStr">
        <is>
          <t>لم يُختبر</t>
        </is>
      </c>
      <c r="J146" s="14" t="inlineStr"/>
      <c r="K146" s="13" t="inlineStr"/>
      <c r="L146" s="14" t="inlineStr"/>
    </row>
    <row r="147">
      <c r="A147" s="13" t="inlineStr">
        <is>
          <t>TC-B-146</t>
        </is>
      </c>
      <c r="B147" s="14" t="inlineStr">
        <is>
          <t>التقارير ولوحات المتابعة</t>
        </is>
      </c>
      <c r="C147" s="15" t="inlineStr">
        <is>
          <t>لوحة المالية: التحصيل والإيراد وأعمار الذمم وأيام التحصيل</t>
        </is>
      </c>
      <c r="D147" s="14" t="inlineStr">
        <is>
          <t>report.finance</t>
        </is>
      </c>
      <c r="E147" s="14" t="inlineStr">
        <is>
          <t>1. افتح التقارير ← المالية.</t>
        </is>
      </c>
      <c r="F147" s="14" t="inlineStr">
        <is>
          <t>الأرقام تطابق الفواتير والمدفوعات الفعلية؛ أعمار الذمم = تقرير ar-aging.</t>
        </is>
      </c>
      <c r="G147" s="13" t="inlineStr">
        <is>
          <t>P1</t>
        </is>
      </c>
      <c r="H147" s="14" t="inlineStr">
        <is>
          <t>وظيفي</t>
        </is>
      </c>
      <c r="I147" s="13" t="inlineStr">
        <is>
          <t>لم يُختبر</t>
        </is>
      </c>
      <c r="J147" s="14" t="inlineStr"/>
      <c r="K147" s="13" t="inlineStr"/>
      <c r="L147" s="14" t="inlineStr"/>
    </row>
    <row r="148">
      <c r="A148" s="13" t="inlineStr">
        <is>
          <t>TC-B-147</t>
        </is>
      </c>
      <c r="B148" s="14" t="inlineStr">
        <is>
          <t>التقارير ولوحات المتابعة</t>
        </is>
      </c>
      <c r="C148" s="15" t="inlineStr">
        <is>
          <t>أرقام الموردين/المخزون في لوحة المالية تتطلب purchase.cost.read</t>
        </is>
      </c>
      <c r="D148" s="14" t="inlineStr">
        <is>
          <t>report.finance بلا purchase.cost.read</t>
        </is>
      </c>
      <c r="E148" s="14" t="inlineStr">
        <is>
          <t>1. افتح GET /insights/finance.</t>
        </is>
      </c>
      <c r="F148" s="14" t="inlineStr">
        <is>
          <t>costVisible=false وتُخفى الالتزامات وقيمة المخزون.</t>
        </is>
      </c>
      <c r="G148" s="13" t="inlineStr">
        <is>
          <t>P1</t>
        </is>
      </c>
      <c r="H148" s="14" t="inlineStr">
        <is>
          <t>صلاحيات</t>
        </is>
      </c>
      <c r="I148" s="13" t="inlineStr">
        <is>
          <t>لم يُختبر</t>
        </is>
      </c>
      <c r="J148" s="14" t="inlineStr"/>
      <c r="K148" s="13" t="inlineStr"/>
      <c r="L148" s="14" t="inlineStr"/>
    </row>
    <row r="149">
      <c r="A149" s="13" t="inlineStr">
        <is>
          <t>TC-B-148</t>
        </is>
      </c>
      <c r="B149" s="14" t="inlineStr">
        <is>
          <t>التقارير ولوحات المتابعة</t>
        </is>
      </c>
      <c r="C149" s="15" t="inlineStr">
        <is>
          <t>ربحية المشاريع وإخفاء التكلفة</t>
        </is>
      </c>
      <c r="D149" s="14" t="inlineStr">
        <is>
          <t>project.read مع/بدون purchase.cost.read</t>
        </is>
      </c>
      <c r="E149" s="14" t="inlineStr">
        <is>
          <t>1. افتح التقارير ← المشاريع بكل مستخدم.</t>
        </is>
      </c>
      <c r="F149" s="14" t="inlineStr">
        <is>
          <t>مع الصلاحية: تكلفة المواد والعمالة والهامش ونسبته وتنبيه low_margin/cost_overrun؛ بدونها: قيمة العقد والمفوتر والمحصل فقط و costVisible=false.</t>
        </is>
      </c>
      <c r="G149" s="13" t="inlineStr">
        <is>
          <t>P1</t>
        </is>
      </c>
      <c r="H149" s="14" t="inlineStr">
        <is>
          <t>صلاحيات</t>
        </is>
      </c>
      <c r="I149" s="13" t="inlineStr">
        <is>
          <t>لم يُختبر</t>
        </is>
      </c>
      <c r="J149" s="14" t="inlineStr"/>
      <c r="K149" s="13" t="inlineStr"/>
      <c r="L149" s="14" t="inlineStr"/>
    </row>
    <row r="150">
      <c r="A150" s="13" t="inlineStr">
        <is>
          <t>TC-B-149</t>
        </is>
      </c>
      <c r="B150" s="14" t="inlineStr">
        <is>
          <t>التقارير ولوحات المتابعة</t>
        </is>
      </c>
      <c r="C150" s="15" t="inlineStr">
        <is>
          <t>«المحصّل» في ربحية المشروع = كشف حساب العميل</t>
        </is>
      </c>
      <c r="D150" s="14" t="inlineStr">
        <is>
          <t>مشروع لعميل واحد بعقد واحد</t>
        </is>
      </c>
      <c r="E150" s="14" t="inlineStr">
        <is>
          <t>1. قارن المحصل في تقرير الربحية مع مجموع الدفعات في كشف الحساب.</t>
        </is>
      </c>
      <c r="F150" s="14" t="inlineStr">
        <is>
          <t>متطابقان حتى الهللة.</t>
        </is>
      </c>
      <c r="G150" s="13" t="inlineStr">
        <is>
          <t>P1</t>
        </is>
      </c>
      <c r="H150" s="14" t="inlineStr">
        <is>
          <t>تكامل</t>
        </is>
      </c>
      <c r="I150" s="13" t="inlineStr">
        <is>
          <t>لم يُختبر</t>
        </is>
      </c>
      <c r="J150" s="14" t="inlineStr"/>
      <c r="K150" s="13" t="inlineStr"/>
      <c r="L150" s="14" t="inlineStr"/>
    </row>
    <row r="151">
      <c r="A151" s="13" t="inlineStr">
        <is>
          <t>TC-B-150</t>
        </is>
      </c>
      <c r="B151" s="14" t="inlineStr">
        <is>
          <t>التقارير ولوحات المتابعة</t>
        </is>
      </c>
      <c r="C151" s="15" t="inlineStr">
        <is>
          <t>تقرير المبيعات: سجل العروض وأسباب الخسارة مع CSV</t>
        </is>
      </c>
      <c r="D151" s="14" t="inlineStr">
        <is>
          <t>report.sales</t>
        </is>
      </c>
      <c r="E151" s="14" t="inlineStr">
        <is>
          <t>1. افتح التقارير ← المبيعات لفترة.
2. صدّر CSV.</t>
        </is>
      </c>
      <c r="F151" s="14" t="inlineStr">
        <is>
          <t>سجل العروض بالفترة، أسباب الخسارة بعددها؛ CSV يفتح بالعربية سليمًا.</t>
        </is>
      </c>
      <c r="G151" s="13" t="inlineStr">
        <is>
          <t>P2</t>
        </is>
      </c>
      <c r="H151" s="14" t="inlineStr">
        <is>
          <t>وظيفي</t>
        </is>
      </c>
      <c r="I151" s="13" t="inlineStr">
        <is>
          <t>لم يُختبر</t>
        </is>
      </c>
      <c r="J151" s="14" t="inlineStr"/>
      <c r="K151" s="13" t="inlineStr"/>
      <c r="L151" s="14" t="inlineStr"/>
    </row>
    <row r="152">
      <c r="A152" s="13" t="inlineStr">
        <is>
          <t>TC-B-151</t>
        </is>
      </c>
      <c r="B152" s="14" t="inlineStr">
        <is>
          <t>التقارير ولوحات المتابعة</t>
        </is>
      </c>
      <c r="C152" s="15" t="inlineStr">
        <is>
          <t>تقارير المبيعات تتطلب report.sales</t>
        </is>
      </c>
      <c r="D152" s="14" t="inlineStr">
        <is>
          <t>مستخدم بلا صلاحية</t>
        </is>
      </c>
      <c r="E152" s="14" t="inlineStr">
        <is>
          <t>1. GET /dashboard/quote-register و /dashboard/lost-reasons.</t>
        </is>
      </c>
      <c r="F152" s="14" t="inlineStr">
        <is>
          <t>403.</t>
        </is>
      </c>
      <c r="G152" s="13" t="inlineStr">
        <is>
          <t>P2</t>
        </is>
      </c>
      <c r="H152" s="14" t="inlineStr">
        <is>
          <t>صلاحيات</t>
        </is>
      </c>
      <c r="I152" s="13" t="inlineStr">
        <is>
          <t>لم يُختبر</t>
        </is>
      </c>
      <c r="J152" s="14" t="inlineStr"/>
      <c r="K152" s="13" t="inlineStr"/>
      <c r="L152" s="14" t="inlineStr"/>
    </row>
    <row r="153">
      <c r="A153" s="13" t="inlineStr">
        <is>
          <t>TC-B-152</t>
        </is>
      </c>
      <c r="B153" s="14" t="inlineStr">
        <is>
          <t>التقارير ولوحات المتابعة</t>
        </is>
      </c>
      <c r="C153" s="15" t="inlineStr">
        <is>
          <t>حالة مزامنة ERP للمسؤول فقط</t>
        </is>
      </c>
      <c r="D153" s="14" t="inlineStr">
        <is>
          <t>admin.settings</t>
        </is>
      </c>
      <c r="E153" s="14" t="inlineStr">
        <is>
          <t>1. افتح GET /erp-sync/status ثم POST /erp-sync/run بحد limit=600.
2. كرر كمستخدم بلا admin.settings.</t>
        </is>
      </c>
      <c r="F153" s="14" t="inlineStr">
        <is>
          <t>limit&gt;500 → 400؛ تشغيل صالح يعيد pushed/items/errors ويُكتب تدقيق erp_sync؛ غير المسؤول 403.</t>
        </is>
      </c>
      <c r="G153" s="13" t="inlineStr">
        <is>
          <t>P2</t>
        </is>
      </c>
      <c r="H153" s="14" t="inlineStr">
        <is>
          <t>صلاحيات</t>
        </is>
      </c>
      <c r="I153" s="13" t="inlineStr">
        <is>
          <t>لم يُختبر</t>
        </is>
      </c>
      <c r="J153" s="14" t="inlineStr"/>
      <c r="K153" s="13" t="inlineStr"/>
      <c r="L153" s="14" t="inlineStr"/>
    </row>
    <row r="154">
      <c r="A154" s="13" t="inlineStr">
        <is>
          <t>TC-B-153</t>
        </is>
      </c>
      <c r="B154" s="14" t="inlineStr">
        <is>
          <t>التقارير ولوحات المتابعة</t>
        </is>
      </c>
      <c r="C154" s="15" t="inlineStr">
        <is>
          <t>أداء لوحة المالية مع بيانات كبيرة</t>
        </is>
      </c>
      <c r="D154" s="14" t="inlineStr">
        <is>
          <t>5,000 فاتورة و 10,000 دفعة</t>
        </is>
      </c>
      <c r="E154" s="14" t="inlineStr">
        <is>
          <t>1. افتح لوحة المالية وأعمار الذمم.</t>
        </is>
      </c>
      <c r="F154" s="14" t="inlineStr">
        <is>
          <t>⚠ للتأكيد (السلوك المتوقع افتراض وليس قاعدة في الكود): تُحمَّل خلال 3 ثوانٍ تقريبًا دون أخطاء مهلة.</t>
        </is>
      </c>
      <c r="G154" s="13" t="inlineStr">
        <is>
          <t>P3</t>
        </is>
      </c>
      <c r="H154" s="14" t="inlineStr">
        <is>
          <t>أداء</t>
        </is>
      </c>
      <c r="I154" s="13" t="inlineStr">
        <is>
          <t>لم يُختبر</t>
        </is>
      </c>
      <c r="J154" s="14" t="inlineStr"/>
      <c r="K154" s="13" t="inlineStr"/>
      <c r="L154" s="14" t="inlineStr"/>
    </row>
    <row r="155">
      <c r="A155" s="13" t="inlineStr">
        <is>
          <t>TC-B-154</t>
        </is>
      </c>
      <c r="B155" s="14" t="inlineStr">
        <is>
          <t>التكامل الشامل</t>
        </is>
      </c>
      <c r="C155" s="15" t="inlineStr">
        <is>
          <t>الدورة الكاملة: عرض → عقد → دفعات → فواتير → تحصيل → عمولة</t>
        </is>
      </c>
      <c r="D155" s="14" t="inlineStr">
        <is>
          <t>منشأة مسجلة ضريبيًا؛ خطة عمولة 2%؛ مندوب مالك للعرض</t>
        </is>
      </c>
      <c r="E155" s="14" t="inlineStr">
        <is>
          <t>1. أنشئ عرض سعر بإجمالي 11,500 شامل الضريبة واقبله.
2. أنشئ عقدًا ووقّعه.
3. اطلب الدفعة الأولى وادفعها تجريبيًا.
4. اطلب الثانية وسجّلها يدويًا.
5. اطلب الأخيرة وادفعها.
6. افتح الفواتير وكشف الحساب وأعمار الذمم و«أرباحي».</t>
        </is>
      </c>
      <c r="F155" s="14" t="inlineStr">
        <is>
          <t>386 ×2 (5,750 و 4,600)، 388 كاملة 11,500 مع prepaid 10,350 و balanceDue 1,150؛ رصيد العميل 0؛ لا ذمم؛ العقد active؛ العمولة earned=200 و payable=200؛ كل الأرقام متطابقة.</t>
        </is>
      </c>
      <c r="G155" s="13" t="inlineStr">
        <is>
          <t>P1</t>
        </is>
      </c>
      <c r="H155" s="14" t="inlineStr">
        <is>
          <t>تكامل</t>
        </is>
      </c>
      <c r="I155" s="13" t="inlineStr">
        <is>
          <t>لم يُختبر</t>
        </is>
      </c>
      <c r="J155" s="14" t="inlineStr"/>
      <c r="K155" s="13" t="inlineStr"/>
      <c r="L155" s="14" t="inlineStr"/>
    </row>
    <row r="156">
      <c r="A156" s="13" t="inlineStr">
        <is>
          <t>TC-B-155</t>
        </is>
      </c>
      <c r="B156" s="14" t="inlineStr">
        <is>
          <t>التكامل الشامل</t>
        </is>
      </c>
      <c r="C156" s="15" t="inlineStr">
        <is>
          <t>الدورة الكاملة في وضع غير مسجل ضريبيًا</t>
        </is>
      </c>
      <c r="D156" s="14" t="inlineStr">
        <is>
          <t>vatRegistered=false</t>
        </is>
      </c>
      <c r="E156" s="14" t="inlineStr">
        <is>
          <t>1. كرر الدورة الكاملة.</t>
        </is>
      </c>
      <c r="F156" s="14" t="inlineStr">
        <is>
          <t>جميع الفواتير «فاتورة» بلا ضريبة ولا QR، والإجماليات = المبالغ المستلمة؛ العمولة على الصافي نفسه.</t>
        </is>
      </c>
      <c r="G156" s="13" t="inlineStr">
        <is>
          <t>P1</t>
        </is>
      </c>
      <c r="H156" s="14" t="inlineStr">
        <is>
          <t>تكامل</t>
        </is>
      </c>
      <c r="I156" s="13" t="inlineStr">
        <is>
          <t>لم يُختبر</t>
        </is>
      </c>
      <c r="J156" s="14" t="inlineStr"/>
      <c r="K156" s="13" t="inlineStr"/>
      <c r="L156" s="14" t="inlineStr"/>
    </row>
    <row r="157">
      <c r="A157" s="13" t="inlineStr">
        <is>
          <t>TC-B-156</t>
        </is>
      </c>
      <c r="B157" s="14" t="inlineStr">
        <is>
          <t>التكامل الشامل</t>
        </is>
      </c>
      <c r="C157" s="15" t="inlineStr">
        <is>
          <t>إشعار دائن على دفعة مقدمة قبل الفاتورة النهائية يُخصم من الطلب الأخير</t>
        </is>
      </c>
      <c r="D157" s="14" t="inlineStr">
        <is>
          <t>386 بقيمة 5,750 وإشعار دائن 381 عليها 575</t>
        </is>
      </c>
      <c r="E157" s="14" t="inlineStr">
        <is>
          <t>1. اطلب الدفعة الأخيرة.</t>
        </is>
      </c>
      <c r="F157" s="14" t="inlineStr">
        <is>
          <t>مبلغ الطلب الأخير = balanceDue لـ 388 − 575 (creditsNetted في التدقيق)؛ summary.credited = 575.</t>
        </is>
      </c>
      <c r="G157" s="13" t="inlineStr">
        <is>
          <t>P1</t>
        </is>
      </c>
      <c r="H157" s="14" t="inlineStr">
        <is>
          <t>تكامل</t>
        </is>
      </c>
      <c r="I157" s="13" t="inlineStr">
        <is>
          <t>لم يُختبر</t>
        </is>
      </c>
      <c r="J157" s="14" t="inlineStr"/>
      <c r="K157" s="13" t="inlineStr"/>
      <c r="L157" s="14" t="inlineStr"/>
    </row>
    <row r="158">
      <c r="A158" s="13" t="inlineStr">
        <is>
          <t>TC-B-157</t>
        </is>
      </c>
      <c r="B158" s="14" t="inlineStr">
        <is>
          <t>التكامل الشامل</t>
        </is>
      </c>
      <c r="C158" s="15" t="inlineStr">
        <is>
          <t>عزل المستأجرين (RLS) في المالية</t>
        </is>
      </c>
      <c r="D158" s="14" t="inlineStr">
        <is>
          <t>مستأجران</t>
        </is>
      </c>
      <c r="E158" s="14" t="inlineStr">
        <is>
          <t>1. اطلب طلب دفع/سند/فاتورة لمستأجر آخر بمعرفه.</t>
        </is>
      </c>
      <c r="F158" s="14" t="inlineStr">
        <is>
          <t>404 دائمًا؛ لا تسرب بيانات.</t>
        </is>
      </c>
      <c r="G158" s="13" t="inlineStr">
        <is>
          <t>P1</t>
        </is>
      </c>
      <c r="H158" s="14" t="inlineStr">
        <is>
          <t>أمان</t>
        </is>
      </c>
      <c r="I158" s="13" t="inlineStr">
        <is>
          <t>لم يُختبر</t>
        </is>
      </c>
      <c r="J158" s="14" t="inlineStr"/>
      <c r="K158" s="13" t="inlineStr"/>
      <c r="L158" s="14" t="inlineStr"/>
    </row>
    <row r="159">
      <c r="A159" s="13" t="inlineStr">
        <is>
          <t>TC-B-158</t>
        </is>
      </c>
      <c r="B159" s="14" t="inlineStr">
        <is>
          <t>التكامل الشامل</t>
        </is>
      </c>
      <c r="C159" s="15" t="inlineStr">
        <is>
          <t>التدقيق المتسلسل لكل العمليات المالية</t>
        </is>
      </c>
      <c r="D159" s="14" t="inlineStr">
        <is>
          <t>بعد تنفيذ الدورة الكاملة</t>
        </is>
      </c>
      <c r="E159" s="14" t="inlineStr">
        <is>
          <t>1. افتح سجل التدقيق.</t>
        </is>
      </c>
      <c r="F159" s="14" t="inlineStr">
        <is>
          <t>قيود request/payment/issue_381/cancel/approve للسندات موجودة ومتسلسلة بالهاش ولا يمكن تعديلها.</t>
        </is>
      </c>
      <c r="G159" s="13" t="inlineStr">
        <is>
          <t>P2</t>
        </is>
      </c>
      <c r="H159" s="14" t="inlineStr">
        <is>
          <t>أمان</t>
        </is>
      </c>
      <c r="I159" s="13" t="inlineStr">
        <is>
          <t>لم يُختبر</t>
        </is>
      </c>
      <c r="J159" s="14" t="inlineStr"/>
      <c r="K159" s="13" t="inlineStr"/>
      <c r="L159" s="14" t="inlineStr"/>
    </row>
    <row r="160">
      <c r="A160" s="13" t="inlineStr">
        <is>
          <t>TC-B-159</t>
        </is>
      </c>
      <c r="B160" s="14" t="inlineStr">
        <is>
          <t>التكامل الشامل</t>
        </is>
      </c>
      <c r="C160" s="15" t="inlineStr">
        <is>
          <t>الواجهة العربية RTL في صفحات المالية و CRM والعمولات</t>
        </is>
      </c>
      <c r="D160" s="14" t="inlineStr">
        <is>
          <t>—</t>
        </is>
      </c>
      <c r="E160" s="14" t="inlineStr">
        <is>
          <t>1. تصفح /finance/requests، /finance/invoices، /finance/vouchers، /finance/aging، /crm/pipeline، /commissions على شاشة جوال وسطح مكتب.</t>
        </is>
      </c>
      <c r="F160" s="14" t="inlineStr">
        <is>
          <t>اتجاه RTL، أرقام ومبالغ بصيغة 1,234.50 ر.س، لا تمرير أفقي، الأزرار حسب الصلاحية.</t>
        </is>
      </c>
      <c r="G160" s="13" t="inlineStr">
        <is>
          <t>P2</t>
        </is>
      </c>
      <c r="H160" s="14" t="inlineStr">
        <is>
          <t>واجهة وعرض</t>
        </is>
      </c>
      <c r="I160" s="13" t="inlineStr">
        <is>
          <t>لم يُختبر</t>
        </is>
      </c>
      <c r="J160" s="14" t="inlineStr"/>
      <c r="K160" s="13" t="inlineStr"/>
      <c r="L160" s="14" t="inlineStr"/>
    </row>
  </sheetData>
  <autoFilter ref="A1:L160"/>
  <conditionalFormatting sqref="A2:L160">
    <cfRule type="expression" priority="1" dxfId="0">
      <formula>$I2="ناجح"</formula>
    </cfRule>
    <cfRule type="expression" priority="2" dxfId="1">
      <formula>$I2="فاشل"</formula>
    </cfRule>
    <cfRule type="expression" priority="3" dxfId="2">
      <formula>$I2="محجوب"</formula>
    </cfRule>
  </conditionalFormatting>
  <conditionalFormatting sqref="G2:G160">
    <cfRule type="expression" priority="4" dxfId="3">
      <formula>$G2="P1"</formula>
    </cfRule>
  </conditionalFormatting>
  <dataValidations count="2">
    <dataValidation sqref="I2:I160" showDropDown="0" showInputMessage="0" showErrorMessage="0" allowBlank="0" type="list">
      <formula1>"لم يُختبر,ناجح,فاشل,محجوب"</formula1>
    </dataValidation>
    <dataValidation sqref="G2:G160" showDropDown="0" showInputMessage="0" showErrorMessage="0" allowBlank="0" type="list">
      <formula1>"P1,P2,P3"</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64"/>
  <sheetViews>
    <sheetView rightToLeft="1"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8" customWidth="1" min="2" max="2"/>
    <col width="38" customWidth="1" min="3" max="3"/>
    <col width="28" customWidth="1" min="4" max="4"/>
    <col width="52" customWidth="1" min="5" max="5"/>
    <col width="46" customWidth="1" min="6" max="6"/>
    <col width="9" customWidth="1" min="7" max="7"/>
    <col width="14" customWidth="1" min="8" max="8"/>
    <col width="12" customWidth="1" min="9" max="9"/>
    <col width="14" customWidth="1" min="10" max="10"/>
    <col width="13" customWidth="1" min="11" max="11"/>
    <col width="30" customWidth="1" min="12" max="12"/>
  </cols>
  <sheetData>
    <row r="1">
      <c r="A1" s="3" t="inlineStr">
        <is>
          <t>الرقم</t>
        </is>
      </c>
      <c r="B1" s="3" t="inlineStr">
        <is>
          <t>الوحدة</t>
        </is>
      </c>
      <c r="C1" s="3" t="inlineStr">
        <is>
          <t>السيناريو</t>
        </is>
      </c>
      <c r="D1" s="3" t="inlineStr">
        <is>
          <t>الشروط المسبقة / الدور</t>
        </is>
      </c>
      <c r="E1" s="3" t="inlineStr">
        <is>
          <t>الخطوات</t>
        </is>
      </c>
      <c r="F1" s="3" t="inlineStr">
        <is>
          <t>النتيجة المتوقعة</t>
        </is>
      </c>
      <c r="G1" s="3" t="inlineStr">
        <is>
          <t>الأولوية</t>
        </is>
      </c>
      <c r="H1" s="3" t="inlineStr">
        <is>
          <t>النوع</t>
        </is>
      </c>
      <c r="I1" s="3" t="inlineStr">
        <is>
          <t>الحالة</t>
        </is>
      </c>
      <c r="J1" s="3" t="inlineStr">
        <is>
          <t>المختبِر</t>
        </is>
      </c>
      <c r="K1" s="3" t="inlineStr">
        <is>
          <t>تاريخ الاختبار</t>
        </is>
      </c>
      <c r="L1" s="3" t="inlineStr">
        <is>
          <t>ملاحظات / رقم البلاغ</t>
        </is>
      </c>
    </row>
    <row r="2">
      <c r="A2" s="13" t="inlineStr">
        <is>
          <t>TC-C-001</t>
        </is>
      </c>
      <c r="B2" s="14" t="inlineStr">
        <is>
          <t>المشاريع</t>
        </is>
      </c>
      <c r="C2" s="15" t="inlineStr">
        <is>
          <t>إنشاء المشروع تلقائيًا عند توقيع العقد</t>
        </is>
      </c>
      <c r="D2" s="14" t="inlineStr">
        <is>
          <t>عقد مرسل للعميل بلا مشروع مرتبط؛ مستخدم مبيعات</t>
        </is>
      </c>
      <c r="E2" s="14" t="inlineStr">
        <is>
          <t>1. افتح رابط التوقيع /sign/[id] بصفة العميل ووقّع العقد
2. سجّل الدخول كمدير مشاريع وافتح /projects</t>
        </is>
      </c>
      <c r="F2" s="14" t="inlineStr">
        <is>
          <t>يظهر مشروع جديد مرتبط بالعقد والعميل في المرحلة kickoff بحالة active، مع نافذة التسليم (الحد الأدنى/الأقصى من أيام العمل) من العقد، وسجل تدقيق create</t>
        </is>
      </c>
      <c r="G2" s="13" t="inlineStr">
        <is>
          <t>P1</t>
        </is>
      </c>
      <c r="H2" s="14" t="inlineStr">
        <is>
          <t>تكامل</t>
        </is>
      </c>
      <c r="I2" s="13" t="inlineStr">
        <is>
          <t>لم يُختبر</t>
        </is>
      </c>
      <c r="J2" s="14" t="inlineStr"/>
      <c r="K2" s="13" t="inlineStr"/>
      <c r="L2" s="14" t="inlineStr"/>
    </row>
    <row r="3">
      <c r="A3" s="13" t="inlineStr">
        <is>
          <t>TC-C-002</t>
        </is>
      </c>
      <c r="B3" s="14" t="inlineStr">
        <is>
          <t>المشاريع</t>
        </is>
      </c>
      <c r="C3" s="15" t="inlineStr">
        <is>
          <t>عدم تكرار المشروع عند استدعاء from-contract مرتين</t>
        </is>
      </c>
      <c r="D3" s="14" t="inlineStr">
        <is>
          <t>عقد موقّع له مشروع</t>
        </is>
      </c>
      <c r="E3" s="14" t="inlineStr">
        <is>
          <t>1. أرسل POST /api/projects/from-contract/:contractId مرتين
2. اعرض قائمة المشاريع</t>
        </is>
      </c>
      <c r="F3" s="14" t="inlineStr">
        <is>
          <t>لا يُنشأ مشروع ثانٍ؛ يُعاد المشروع الموجود أو خطأ تعارض واضح، ولا تتكرر المهام</t>
        </is>
      </c>
      <c r="G3" s="13" t="inlineStr">
        <is>
          <t>P1</t>
        </is>
      </c>
      <c r="H3" s="14" t="inlineStr">
        <is>
          <t>حالات حدّية</t>
        </is>
      </c>
      <c r="I3" s="13" t="inlineStr">
        <is>
          <t>لم يُختبر</t>
        </is>
      </c>
      <c r="J3" s="14" t="inlineStr"/>
      <c r="K3" s="13" t="inlineStr"/>
      <c r="L3" s="14" t="inlineStr"/>
    </row>
    <row r="4">
      <c r="A4" s="13" t="inlineStr">
        <is>
          <t>TC-C-003</t>
        </is>
      </c>
      <c r="B4" s="14" t="inlineStr">
        <is>
          <t>المشاريع</t>
        </is>
      </c>
      <c r="C4" s="15" t="inlineStr">
        <is>
          <t>بوابة kickoff تمنع التقدم دون الدفعة المقدمة والاعتمادات</t>
        </is>
      </c>
      <c r="D4" s="14" t="inlineStr">
        <is>
          <t>مشروع kickoff؛ لم تُدفع المقدمة؛ لا اعتمادات</t>
        </is>
      </c>
      <c r="E4" s="14" t="inlineStr">
        <is>
          <t>1. اضغط «التقدم للمرحلة التالية» (POST /projects/:id/advance) دون override</t>
        </is>
      </c>
      <c r="F4" s="14" t="inlineStr">
        <is>
          <t>رفض 400 «the stage gate is not met» مع قائمة الشروط الفاشلة: advance و approval:specs/door_directions/room_numbers/design</t>
        </is>
      </c>
      <c r="G4" s="13" t="inlineStr">
        <is>
          <t>P1</t>
        </is>
      </c>
      <c r="H4" s="14" t="inlineStr">
        <is>
          <t>وظيفي</t>
        </is>
      </c>
      <c r="I4" s="13" t="inlineStr">
        <is>
          <t>لم يُختبر</t>
        </is>
      </c>
      <c r="J4" s="14" t="inlineStr"/>
      <c r="K4" s="13" t="inlineStr"/>
      <c r="L4" s="14" t="inlineStr"/>
    </row>
    <row r="5">
      <c r="A5" s="13" t="inlineStr">
        <is>
          <t>TC-C-004</t>
        </is>
      </c>
      <c r="B5" s="14" t="inlineStr">
        <is>
          <t>المشاريع</t>
        </is>
      </c>
      <c r="C5" s="15" t="inlineStr">
        <is>
          <t>التقدم من kickoff بعد استيفاء كل الشروط</t>
        </is>
      </c>
      <c r="D5" s="14" t="inlineStr">
        <is>
          <t>دفعة 50% مسددة بالكامل واعتماد الأنواع الأربعة</t>
        </is>
      </c>
      <c r="E5" s="14" t="inlineStr">
        <is>
          <t>1. اضغط التقدم</t>
        </is>
      </c>
      <c r="F5" s="14" t="inlineStr">
        <is>
          <t>ينتقل المشروع إلى procurement، يُسجَّل projectStageLog وتدقيق stage_advance دون overriddenChecks، ويبدأ عداد التسليم بتاريخ clockStartedOn</t>
        </is>
      </c>
      <c r="G5" s="13" t="inlineStr">
        <is>
          <t>P1</t>
        </is>
      </c>
      <c r="H5" s="14" t="inlineStr">
        <is>
          <t>وظيفي</t>
        </is>
      </c>
      <c r="I5" s="13" t="inlineStr">
        <is>
          <t>لم يُختبر</t>
        </is>
      </c>
      <c r="J5" s="14" t="inlineStr"/>
      <c r="K5" s="13" t="inlineStr"/>
      <c r="L5" s="14" t="inlineStr"/>
    </row>
    <row r="6">
      <c r="A6" s="13" t="inlineStr">
        <is>
          <t>TC-C-005</t>
        </is>
      </c>
      <c r="B6" s="14" t="inlineStr">
        <is>
          <t>المشاريع</t>
        </is>
      </c>
      <c r="C6" s="15" t="inlineStr">
        <is>
          <t>تجاوز البوابة مع سبب وصلاحية project.override</t>
        </is>
      </c>
      <c r="D6" s="14" t="inlineStr">
        <is>
          <t>مستخدم لديه project.override؛ بوابة procurement غير مستوفاة (لم تُدفع 40%)</t>
        </is>
      </c>
      <c r="E6" s="14" t="inlineStr">
        <is>
          <t>1. اضغط التقدم مع تفعيل «تجاوز» وكتابة سبب
2. افتح سجل المراحل والتدقيق</t>
        </is>
      </c>
      <c r="F6" s="14" t="inlineStr">
        <is>
          <t>ينتقل للمرحلة delivery؛ يُحفظ overriddenChecks=[delivery_payment] والسبب في projectStageLog وتدقيق stage_override</t>
        </is>
      </c>
      <c r="G6" s="13" t="inlineStr">
        <is>
          <t>P1</t>
        </is>
      </c>
      <c r="H6" s="14" t="inlineStr">
        <is>
          <t>وظيفي</t>
        </is>
      </c>
      <c r="I6" s="13" t="inlineStr">
        <is>
          <t>لم يُختبر</t>
        </is>
      </c>
      <c r="J6" s="14" t="inlineStr"/>
      <c r="K6" s="13" t="inlineStr"/>
      <c r="L6" s="14" t="inlineStr"/>
    </row>
    <row r="7">
      <c r="A7" s="13" t="inlineStr">
        <is>
          <t>TC-C-006</t>
        </is>
      </c>
      <c r="B7" s="14" t="inlineStr">
        <is>
          <t>المشاريع</t>
        </is>
      </c>
      <c r="C7" s="15" t="inlineStr">
        <is>
          <t>رفض التجاوز بدون سبب</t>
        </is>
      </c>
      <c r="D7" s="14" t="inlineStr">
        <is>
          <t>مستخدم لديه project.override؛ بوابة غير مستوفاة</t>
        </is>
      </c>
      <c r="E7" s="14" t="inlineStr">
        <is>
          <t>1. أرسل advance مع override=true وreason فارغ أو مسافات</t>
        </is>
      </c>
      <c r="F7" s="14" t="inlineStr">
        <is>
          <t>رفض 400 «a reason is required to override a stage gate» ولا تتغير المرحلة</t>
        </is>
      </c>
      <c r="G7" s="13" t="inlineStr">
        <is>
          <t>P1</t>
        </is>
      </c>
      <c r="H7" s="14" t="inlineStr">
        <is>
          <t>تحقق من المدخلات</t>
        </is>
      </c>
      <c r="I7" s="13" t="inlineStr">
        <is>
          <t>لم يُختبر</t>
        </is>
      </c>
      <c r="J7" s="14" t="inlineStr"/>
      <c r="K7" s="13" t="inlineStr"/>
      <c r="L7" s="14" t="inlineStr"/>
    </row>
    <row r="8">
      <c r="A8" s="13" t="inlineStr">
        <is>
          <t>TC-C-007</t>
        </is>
      </c>
      <c r="B8" s="14" t="inlineStr">
        <is>
          <t>المشاريع</t>
        </is>
      </c>
      <c r="C8" s="15" t="inlineStr">
        <is>
          <t>رفض التجاوز لمستخدم بلا project.override</t>
        </is>
      </c>
      <c r="D8" s="14" t="inlineStr">
        <is>
          <t>مستخدم لديه project.write فقط</t>
        </is>
      </c>
      <c r="E8" s="14" t="inlineStr">
        <is>
          <t>1. أرسل advance مع override=true وسبب</t>
        </is>
      </c>
      <c r="F8" s="14" t="inlineStr">
        <is>
          <t>رفض 403 «overriding a stage gate requires project.override»</t>
        </is>
      </c>
      <c r="G8" s="13" t="inlineStr">
        <is>
          <t>P1</t>
        </is>
      </c>
      <c r="H8" s="14" t="inlineStr">
        <is>
          <t>صلاحيات</t>
        </is>
      </c>
      <c r="I8" s="13" t="inlineStr">
        <is>
          <t>لم يُختبر</t>
        </is>
      </c>
      <c r="J8" s="14" t="inlineStr"/>
      <c r="K8" s="13" t="inlineStr"/>
      <c r="L8" s="14" t="inlineStr"/>
    </row>
    <row r="9">
      <c r="A9" s="13" t="inlineStr">
        <is>
          <t>TC-C-008</t>
        </is>
      </c>
      <c r="B9" s="14" t="inlineStr">
        <is>
          <t>المشاريع</t>
        </is>
      </c>
      <c r="C9" s="15" t="inlineStr">
        <is>
          <t>بوابة installation تتطلب تسجيل جهاز واحد على الأقل</t>
        </is>
      </c>
      <c r="D9" s="14" t="inlineStr">
        <is>
          <t>مشروع installation بلا أجهزة</t>
        </is>
      </c>
      <c r="E9" s="14" t="inlineStr">
        <is>
          <t>1. اضغط التقدم
2. سجّل جهازًا على المشروع ثم أعد المحاولة</t>
        </is>
      </c>
      <c r="F9" s="14" t="inlineStr">
        <is>
          <t>الأولى مرفوضة بشرط assets؛ الثانية تنتقل إلى commissioning</t>
        </is>
      </c>
      <c r="G9" s="13" t="inlineStr">
        <is>
          <t>P1</t>
        </is>
      </c>
      <c r="H9" s="14" t="inlineStr">
        <is>
          <t>وظيفي</t>
        </is>
      </c>
      <c r="I9" s="13" t="inlineStr">
        <is>
          <t>لم يُختبر</t>
        </is>
      </c>
      <c r="J9" s="14" t="inlineStr"/>
      <c r="K9" s="13" t="inlineStr"/>
      <c r="L9" s="14" t="inlineStr"/>
    </row>
    <row r="10">
      <c r="A10" s="13" t="inlineStr">
        <is>
          <t>TC-C-009</t>
        </is>
      </c>
      <c r="B10" s="14" t="inlineStr">
        <is>
          <t>المشاريع</t>
        </is>
      </c>
      <c r="C10" s="15" t="inlineStr">
        <is>
          <t>بوابة commissioning: اختبارات كل الأجهزة وطلب الدفعة 10%</t>
        </is>
      </c>
      <c r="D10" s="14" t="inlineStr">
        <is>
          <t>مشروع commissioning به 5 أجهزة؛ 4 مختبرة بنجاح؛ لم يصدر طلب الدفعة الأخيرة</t>
        </is>
      </c>
      <c r="E10" s="14" t="inlineStr">
        <is>
          <t>1. اضغط التقدم
2. سجّل اختبارًا ناجحًا للجهاز الخامس وأصدر طلب الدفعة الأخيرة 388
3. أعد المحاولة</t>
        </is>
      </c>
      <c r="F10" s="14" t="inlineStr">
        <is>
          <t>الأولى تفشل بشرطي tests وfinal_invoice؛ الثانية تنتقل إلى handover وتُضبط deliveredOn=اليوم ويتوقف العداد</t>
        </is>
      </c>
      <c r="G10" s="13" t="inlineStr">
        <is>
          <t>P1</t>
        </is>
      </c>
      <c r="H10" s="14" t="inlineStr">
        <is>
          <t>تكامل</t>
        </is>
      </c>
      <c r="I10" s="13" t="inlineStr">
        <is>
          <t>لم يُختبر</t>
        </is>
      </c>
      <c r="J10" s="14" t="inlineStr"/>
      <c r="K10" s="13" t="inlineStr"/>
      <c r="L10" s="14" t="inlineStr"/>
    </row>
    <row r="11">
      <c r="A11" s="13" t="inlineStr">
        <is>
          <t>TC-C-010</t>
        </is>
      </c>
      <c r="B11" s="14" t="inlineStr">
        <is>
          <t>المشاريع</t>
        </is>
      </c>
      <c r="C11" s="15" t="inlineStr">
        <is>
          <t>بوابة handover: إغلاق الملاحظات وتوقيع محضر الاستلام</t>
        </is>
      </c>
      <c r="D11" s="14" t="inlineStr">
        <is>
          <t>مشروع handover بملاحظة مفتوحة واحدة</t>
        </is>
      </c>
      <c r="E11" s="14" t="inlineStr">
        <is>
          <t>1. اضغط التقدم
2. تحقّق من الملاحظة وسجّل القبول
3. أعد المحاولة</t>
        </is>
      </c>
      <c r="F11" s="14" t="inlineStr">
        <is>
          <t>الأولى ترفض (snags, acceptance)؛ الثانية تنتقل إلى warranty</t>
        </is>
      </c>
      <c r="G11" s="13" t="inlineStr">
        <is>
          <t>P1</t>
        </is>
      </c>
      <c r="H11" s="14" t="inlineStr">
        <is>
          <t>وظيفي</t>
        </is>
      </c>
      <c r="I11" s="13" t="inlineStr">
        <is>
          <t>لم يُختبر</t>
        </is>
      </c>
      <c r="J11" s="14" t="inlineStr"/>
      <c r="K11" s="13" t="inlineStr"/>
      <c r="L11" s="14" t="inlineStr"/>
    </row>
    <row r="12">
      <c r="A12" s="13" t="inlineStr">
        <is>
          <t>TC-C-011</t>
        </is>
      </c>
      <c r="B12" s="14" t="inlineStr">
        <is>
          <t>المشاريع</t>
        </is>
      </c>
      <c r="C12" s="15" t="inlineStr">
        <is>
          <t>عداد التسليم بأيام العمل يتخطى الجمعة والسبت والعطل</t>
        </is>
      </c>
      <c r="D12" s="14" t="inlineStr">
        <is>
          <t>تقويم الشركة الافتراضي (الأحد–الخميس) وعطلة 2026-09-23؛ عداد يبدأ 2026-09-17 بنافذة 45–60 يومًا</t>
        </is>
      </c>
      <c r="E12" s="14" t="inlineStr">
        <is>
          <t>1. افتح لوحة المشروع واقرأ targetMin/targetMax وelapsed</t>
        </is>
      </c>
      <c r="F12" s="14" t="inlineStr">
        <is>
          <t>elapsed يحسب أيام العمل بعد تاريخ البدء حتى اليوم فقط، مستبعدًا عطلة نهاية الأسبوع و23 سبتمبر؛ التواريخ المستهدفة على أيام عمل</t>
        </is>
      </c>
      <c r="G12" s="13" t="inlineStr">
        <is>
          <t>P1</t>
        </is>
      </c>
      <c r="H12" s="14" t="inlineStr">
        <is>
          <t>حالات حدّية</t>
        </is>
      </c>
      <c r="I12" s="13" t="inlineStr">
        <is>
          <t>لم يُختبر</t>
        </is>
      </c>
      <c r="J12" s="14" t="inlineStr"/>
      <c r="K12" s="13" t="inlineStr"/>
      <c r="L12" s="14" t="inlineStr"/>
    </row>
    <row r="13">
      <c r="A13" s="13" t="inlineStr">
        <is>
          <t>TC-C-012</t>
        </is>
      </c>
      <c r="B13" s="14" t="inlineStr">
        <is>
          <t>المشاريع</t>
        </is>
      </c>
      <c r="C13" s="15" t="inlineStr">
        <is>
          <t>بدء العداد = الأحدث بين المقدمة وآخر اعتماد</t>
        </is>
      </c>
      <c r="D13" s="14" t="inlineStr">
        <is>
          <t>مقدمة 2026-08-01؛ آخر اعتماد (التصميم) 2026-08-10</t>
        </is>
      </c>
      <c r="E13" s="14" t="inlineStr">
        <is>
          <t>1. اعرض clockStartedOn بعد اجتياز kickoff</t>
        </is>
      </c>
      <c r="F13" s="14" t="inlineStr">
        <is>
          <t>تاريخ البدء 2026-08-10 وليس تاريخ المقدمة</t>
        </is>
      </c>
      <c r="G13" s="13" t="inlineStr">
        <is>
          <t>P1</t>
        </is>
      </c>
      <c r="H13" s="14" t="inlineStr">
        <is>
          <t>حالات حدّية</t>
        </is>
      </c>
      <c r="I13" s="13" t="inlineStr">
        <is>
          <t>لم يُختبر</t>
        </is>
      </c>
      <c r="J13" s="14" t="inlineStr"/>
      <c r="K13" s="13" t="inlineStr"/>
      <c r="L13" s="14" t="inlineStr"/>
    </row>
    <row r="14">
      <c r="A14" s="13" t="inlineStr">
        <is>
          <t>TC-C-013</t>
        </is>
      </c>
      <c r="B14" s="14" t="inlineStr">
        <is>
          <t>المشاريع</t>
        </is>
      </c>
      <c r="C14" s="15" t="inlineStr">
        <is>
          <t>تحذيرات العداد عند 70% و90% ثم التأخر</t>
        </is>
      </c>
      <c r="D14" s="14" t="inlineStr">
        <is>
          <t>مشروع maxDays=60</t>
        </is>
      </c>
      <c r="E14" s="14" t="inlineStr">
        <is>
          <t>1. اضبط التاريخ/البيانات بحيث elapsed=41 ثم 42 ثم 54 ثم 61</t>
        </is>
      </c>
      <c r="F14" s="14" t="inlineStr">
        <is>
          <t>41 → ok؛ 42 (0.70) → warn70؛ 54 (0.90) → warn90؛ 61 → overdue؛ مع ألوان التحذير المطابقة في اللوحة ولوحة المشاريع</t>
        </is>
      </c>
      <c r="G14" s="13" t="inlineStr">
        <is>
          <t>P1</t>
        </is>
      </c>
      <c r="H14" s="14" t="inlineStr">
        <is>
          <t>حالات حدّية</t>
        </is>
      </c>
      <c r="I14" s="13" t="inlineStr">
        <is>
          <t>لم يُختبر</t>
        </is>
      </c>
      <c r="J14" s="14" t="inlineStr"/>
      <c r="K14" s="13" t="inlineStr"/>
      <c r="L14" s="14" t="inlineStr"/>
    </row>
    <row r="15">
      <c r="A15" s="13" t="inlineStr">
        <is>
          <t>TC-C-014</t>
        </is>
      </c>
      <c r="B15" s="14" t="inlineStr">
        <is>
          <t>المشاريع</t>
        </is>
      </c>
      <c r="C15" s="15" t="inlineStr">
        <is>
          <t>إيقاف مؤقت للعداد وإنهاؤه</t>
        </is>
      </c>
      <c r="D15" s="14" t="inlineStr">
        <is>
          <t>مشروع عداده يعمل</t>
        </is>
      </c>
      <c r="E15" s="14" t="inlineStr">
        <is>
          <t>1. أضف إيقافًا (POST /projects/:id/pauses) بسبب
2. بعد 5 أيام عمل أنهِه (POST /pauses/:pid/end)</t>
        </is>
      </c>
      <c r="F15" s="14" t="inlineStr">
        <is>
          <t>أثناء الإيقاف paused=true؛ بعد الإنهاء pausedDays=5 تُطرح من elapsed وتُزاح التواريخ المستهدفة 5 أيام عمل</t>
        </is>
      </c>
      <c r="G15" s="13" t="inlineStr">
        <is>
          <t>P1</t>
        </is>
      </c>
      <c r="H15" s="14" t="inlineStr">
        <is>
          <t>وظيفي</t>
        </is>
      </c>
      <c r="I15" s="13" t="inlineStr">
        <is>
          <t>لم يُختبر</t>
        </is>
      </c>
      <c r="J15" s="14" t="inlineStr"/>
      <c r="K15" s="13" t="inlineStr"/>
      <c r="L15" s="14" t="inlineStr"/>
    </row>
    <row r="16">
      <c r="A16" s="13" t="inlineStr">
        <is>
          <t>TC-C-015</t>
        </is>
      </c>
      <c r="B16" s="14" t="inlineStr">
        <is>
          <t>المشاريع</t>
        </is>
      </c>
      <c r="C16" s="15" t="inlineStr">
        <is>
          <t>إنشاء حزمة اعتماد وإرسالها للعميل</t>
        </is>
      </c>
      <c r="D16" s="14" t="inlineStr">
        <is>
          <t>مشروع kickoff؛ عميل له حساب بوابة</t>
        </is>
      </c>
      <c r="E16" s="14" t="inlineStr">
        <is>
          <t>1. أنشئ اعتماد «اتجاهات الأبواب» مع ملف PDF
2. اضغط إرسال (approvals/:aid/send)</t>
        </is>
      </c>
      <c r="F16" s="14" t="inlineStr">
        <is>
          <t>تتغير الحالة إلى مرسل وتصل رسالة واتساب (sandbox: تُسجَّل في السجل) وتظهر في /portal/projects</t>
        </is>
      </c>
      <c r="G16" s="13" t="inlineStr">
        <is>
          <t>P1</t>
        </is>
      </c>
      <c r="H16" s="14" t="inlineStr">
        <is>
          <t>تكامل</t>
        </is>
      </c>
      <c r="I16" s="13" t="inlineStr">
        <is>
          <t>لم يُختبر</t>
        </is>
      </c>
      <c r="J16" s="14" t="inlineStr"/>
      <c r="K16" s="13" t="inlineStr"/>
      <c r="L16" s="14" t="inlineStr"/>
    </row>
    <row r="17">
      <c r="A17" s="13" t="inlineStr">
        <is>
          <t>TC-C-016</t>
        </is>
      </c>
      <c r="B17" s="14" t="inlineStr">
        <is>
          <t>المشاريع</t>
        </is>
      </c>
      <c r="C17" s="15" t="inlineStr">
        <is>
          <t>دورة حياة الملاحظات (Snags) مع الصور</t>
        </is>
      </c>
      <c r="D17" s="14" t="inlineStr">
        <is>
          <t>مشروع في handover</t>
        </is>
      </c>
      <c r="E17" s="14" t="inlineStr">
        <is>
          <t>1. أنشئ ملاحظة على وحدة مع صورة
2. سجّل الإصلاح (fix) مع صورة بعد
3. تحقّق (verify)
4. أعد فتحها (reopen)</t>
        </is>
      </c>
      <c r="F17" s="14" t="inlineStr">
        <is>
          <t>تنتقل الحالات open → fixed → verified → open مع حفظ الصور قبل/بعد، ويؤثر عدد المفتوح على بوابة handover</t>
        </is>
      </c>
      <c r="G17" s="13" t="inlineStr">
        <is>
          <t>P1</t>
        </is>
      </c>
      <c r="H17" s="14" t="inlineStr">
        <is>
          <t>وظيفي</t>
        </is>
      </c>
      <c r="I17" s="13" t="inlineStr">
        <is>
          <t>لم يُختبر</t>
        </is>
      </c>
      <c r="J17" s="14" t="inlineStr"/>
      <c r="K17" s="13" t="inlineStr"/>
      <c r="L17" s="14" t="inlineStr"/>
    </row>
    <row r="18">
      <c r="A18" s="13" t="inlineStr">
        <is>
          <t>TC-C-017</t>
        </is>
      </c>
      <c r="B18" s="14" t="inlineStr">
        <is>
          <t>المشاريع</t>
        </is>
      </c>
      <c r="C18" s="15" t="inlineStr">
        <is>
          <t>تسجيل القبول بتاريخ مستقبلي أو قبل الوصول للتسليم</t>
        </is>
      </c>
      <c r="D18" s="14" t="inlineStr">
        <is>
          <t>مشروع handover بـ deliveredOn=2026-10-01</t>
        </is>
      </c>
      <c r="E18" s="14" t="inlineStr">
        <is>
          <t>1. سجّل acceptedOn=غدًا
2. سجّل acceptedOn=2026-09-28
3. سجّل acceptedOn=2026-10-05 مع اسم المستلم</t>
        </is>
      </c>
      <c r="F18" s="14" t="inlineStr">
        <is>
          <t>الأولى مرفوضة «cannot be in the future»؛ الثانية «before the handover stage was reached»؛ الثالثة تنجح</t>
        </is>
      </c>
      <c r="G18" s="13" t="inlineStr">
        <is>
          <t>P1</t>
        </is>
      </c>
      <c r="H18" s="14" t="inlineStr">
        <is>
          <t>تحقق من المدخلات</t>
        </is>
      </c>
      <c r="I18" s="13" t="inlineStr">
        <is>
          <t>لم يُختبر</t>
        </is>
      </c>
      <c r="J18" s="14" t="inlineStr"/>
      <c r="K18" s="13" t="inlineStr"/>
      <c r="L18" s="14" t="inlineStr"/>
    </row>
    <row r="19">
      <c r="A19" s="13" t="inlineStr">
        <is>
          <t>TC-C-018</t>
        </is>
      </c>
      <c r="B19" s="14" t="inlineStr">
        <is>
          <t>المشاريع</t>
        </is>
      </c>
      <c r="C19" s="15" t="inlineStr">
        <is>
          <t>حساب تواريخ الضمان من تاريخ القبول عند الانتقال لـ warranty</t>
        </is>
      </c>
      <c r="D19" s="14" t="inlineStr">
        <is>
          <t>قبول 2026-01-31؛ ضمان تركيب 12 شهرًا وقطع 24 شهرًا</t>
        </is>
      </c>
      <c r="E19" s="14" t="inlineStr">
        <is>
          <t>1. انقل المشروع إلى warranty
2. افتح أحد أجهزة المشروع</t>
        </is>
      </c>
      <c r="F19" s="14" t="inlineStr">
        <is>
          <t>labourWarrantyEnd=2027-01-31 وpartsWarrantyEnd=2028-01-31 على كل أجهزة المشروع، ويظهر عدد الأجهزة المحدّثة في التدقيق</t>
        </is>
      </c>
      <c r="G19" s="13" t="inlineStr">
        <is>
          <t>P1</t>
        </is>
      </c>
      <c r="H19" s="14" t="inlineStr">
        <is>
          <t>حالات حدّية</t>
        </is>
      </c>
      <c r="I19" s="13" t="inlineStr">
        <is>
          <t>لم يُختبر</t>
        </is>
      </c>
      <c r="J19" s="14" t="inlineStr"/>
      <c r="K19" s="13" t="inlineStr"/>
      <c r="L19" s="14" t="inlineStr"/>
    </row>
    <row r="20">
      <c r="A20" s="13" t="inlineStr">
        <is>
          <t>TC-C-019</t>
        </is>
      </c>
      <c r="B20" s="14" t="inlineStr">
        <is>
          <t>المشاريع</t>
        </is>
      </c>
      <c r="C20" s="15" t="inlineStr">
        <is>
          <t>الانتقال لـ warranty دون قبول مسجّل (حتى مع override)</t>
        </is>
      </c>
      <c r="D20" s="14" t="inlineStr">
        <is>
          <t>مشروع handover بلا acceptedOn؛ مستخدم project.override</t>
        </is>
      </c>
      <c r="E20" s="14" t="inlineStr">
        <is>
          <t>1. تقدم مع override وسبب</t>
        </is>
      </c>
      <c r="F20" s="14" t="inlineStr">
        <is>
          <t>رفض «record the client acceptance first»</t>
        </is>
      </c>
      <c r="G20" s="13" t="inlineStr">
        <is>
          <t>P1</t>
        </is>
      </c>
      <c r="H20" s="14" t="inlineStr">
        <is>
          <t>تحقق من المدخلات</t>
        </is>
      </c>
      <c r="I20" s="13" t="inlineStr">
        <is>
          <t>لم يُختبر</t>
        </is>
      </c>
      <c r="J20" s="14" t="inlineStr"/>
      <c r="K20" s="13" t="inlineStr"/>
      <c r="L20" s="14" t="inlineStr"/>
    </row>
    <row r="21">
      <c r="A21" s="13" t="inlineStr">
        <is>
          <t>TC-C-020</t>
        </is>
      </c>
      <c r="B21" s="14" t="inlineStr">
        <is>
          <t>المشاريع</t>
        </is>
      </c>
      <c r="C21" s="15" t="inlineStr">
        <is>
          <t>حزمة التسليم PDF لا تحتوي بيانات الدخول</t>
        </is>
      </c>
      <c r="D21" s="14" t="inlineStr">
        <is>
          <t>أجهزة بها attributes تحتوي كلمات مرور/بيانات دخول</t>
        </is>
      </c>
      <c r="E21" s="14" t="inlineStr">
        <is>
          <t>1. حمّل /projects/:id/handover.pdf
2. ابحث في النص عن كلمات المرور وattributes</t>
        </is>
      </c>
      <c r="F21" s="14" t="inlineStr">
        <is>
          <t>يحتوي PDF على الأجهزة (الكود، التسلسلي، الموقع، الضمان، الاختبارات) وشهادة القبول، ولا توجد أي بيانات اعتماد أو سمات حرة</t>
        </is>
      </c>
      <c r="G21" s="13" t="inlineStr">
        <is>
          <t>P1</t>
        </is>
      </c>
      <c r="H21" s="14" t="inlineStr">
        <is>
          <t>أمان</t>
        </is>
      </c>
      <c r="I21" s="13" t="inlineStr">
        <is>
          <t>لم يُختبر</t>
        </is>
      </c>
      <c r="J21" s="14" t="inlineStr"/>
      <c r="K21" s="13" t="inlineStr"/>
      <c r="L21" s="14" t="inlineStr"/>
    </row>
    <row r="22">
      <c r="A22" s="13" t="inlineStr">
        <is>
          <t>TC-C-021</t>
        </is>
      </c>
      <c r="B22" s="14" t="inlineStr">
        <is>
          <t>المشاريع</t>
        </is>
      </c>
      <c r="C22" s="15" t="inlineStr">
        <is>
          <t>صرف المواد من المشروع (تسليم مواد)</t>
        </is>
      </c>
      <c r="D22" s="14" t="inlineStr">
        <is>
          <t>مشروع في delivery؛ مخزون متاح في المستودع</t>
        </is>
      </c>
      <c r="E22" s="14" t="inlineStr">
        <is>
          <t>1. من المشروع اختر «صرف المواد» للأصناف
2. أكّد</t>
        </is>
      </c>
      <c r="F22" s="14" t="inlineStr">
        <is>
          <t>تُسجَّل حركات مخزون عبر postMove (stock_move إلحاقي) مرتبطة بالمشروع وتنقص الكميات المتاحة</t>
        </is>
      </c>
      <c r="G22" s="13" t="inlineStr">
        <is>
          <t>P1</t>
        </is>
      </c>
      <c r="H22" s="14" t="inlineStr">
        <is>
          <t>تكامل</t>
        </is>
      </c>
      <c r="I22" s="13" t="inlineStr">
        <is>
          <t>لم يُختبر</t>
        </is>
      </c>
      <c r="J22" s="14" t="inlineStr"/>
      <c r="K22" s="13" t="inlineStr"/>
      <c r="L22" s="14" t="inlineStr"/>
    </row>
    <row r="23">
      <c r="A23" s="13" t="inlineStr">
        <is>
          <t>TC-C-022</t>
        </is>
      </c>
      <c r="B23" s="14" t="inlineStr">
        <is>
          <t>المشاريع</t>
        </is>
      </c>
      <c r="C23" s="15" t="inlineStr">
        <is>
          <t>نطاق السجل: مدير مشروع يرى مشاريعه فقط</t>
        </is>
      </c>
      <c r="D23" s="14" t="inlineStr">
        <is>
          <t>مستخدم project.read بنطاق own</t>
        </is>
      </c>
      <c r="E23" s="14" t="inlineStr">
        <is>
          <t>1. افتح /projects
2. افتح رابط مشروع آخر مباشرة GET /projects/:id</t>
        </is>
      </c>
      <c r="F23" s="14" t="inlineStr">
        <is>
          <t>القائمة تعرض مشاريعه فقط؛ الوصول المباشر يعيد 403/404</t>
        </is>
      </c>
      <c r="G23" s="13" t="inlineStr">
        <is>
          <t>P1</t>
        </is>
      </c>
      <c r="H23" s="14" t="inlineStr">
        <is>
          <t>صلاحيات</t>
        </is>
      </c>
      <c r="I23" s="13" t="inlineStr">
        <is>
          <t>لم يُختبر</t>
        </is>
      </c>
      <c r="J23" s="14" t="inlineStr"/>
      <c r="K23" s="13" t="inlineStr"/>
      <c r="L23" s="14" t="inlineStr"/>
    </row>
    <row r="24">
      <c r="A24" s="13" t="inlineStr">
        <is>
          <t>TC-C-023</t>
        </is>
      </c>
      <c r="B24" s="14" t="inlineStr">
        <is>
          <t>المشاريع</t>
        </is>
      </c>
      <c r="C24" s="15" t="inlineStr">
        <is>
          <t>سيناريو متكامل: عقد ← مشروع ← أمر عمل ← صرف مخزون ← فاتورة</t>
        </is>
      </c>
      <c r="D24" s="14" t="inlineStr">
        <is>
          <t>بيئة sandbox كاملة</t>
        </is>
      </c>
      <c r="E24" s="14" t="inlineStr">
        <is>
          <t>1. وقّع عقدًا
2. سدد المقدمة واعتمد الحزم وتقدم
3. سجّل المواد والأجهزة عبر أمر تركيب من /tech وأكمله
4. اختبر الأجهزة وأصدر طلب 10%
5. سجّل القبول وانتقل للضمان
6. أنشئ بلاغًا على جهاز</t>
        </is>
      </c>
      <c r="F24" s="14" t="inlineStr">
        <is>
          <t>كل خطوة تُنشئ السجلات المرتبطة؛ حركات المخزون مرتبطة بالأمر؛ الفاتورة 386/388 صحيحة؛ البلاغ الأخير coverage=warranty؛ سلسلة التدقيق سليمة</t>
        </is>
      </c>
      <c r="G24" s="13" t="inlineStr">
        <is>
          <t>P1</t>
        </is>
      </c>
      <c r="H24" s="14" t="inlineStr">
        <is>
          <t>تكامل</t>
        </is>
      </c>
      <c r="I24" s="13" t="inlineStr">
        <is>
          <t>لم يُختبر</t>
        </is>
      </c>
      <c r="J24" s="14" t="inlineStr"/>
      <c r="K24" s="13" t="inlineStr"/>
      <c r="L24" s="14" t="inlineStr"/>
    </row>
    <row r="25">
      <c r="A25" s="13" t="inlineStr">
        <is>
          <t>TC-C-024</t>
        </is>
      </c>
      <c r="B25" s="14" t="inlineStr">
        <is>
          <t>المشاريع</t>
        </is>
      </c>
      <c r="C25" s="15" t="inlineStr">
        <is>
          <t>عرض لوحة المشروع بالمراحل الثمانية</t>
        </is>
      </c>
      <c r="D25" s="14" t="inlineStr">
        <is>
          <t>مشروع في مرحلة procurement</t>
        </is>
      </c>
      <c r="E25" s="14" t="inlineStr">
        <is>
          <t>1. افتح /projects/[id]</t>
        </is>
      </c>
      <c r="F25" s="14" t="inlineStr">
        <is>
          <t>يظهر الشريط بالمراحل: البدء، التوريد، التسليم، التركيب، التشغيل، التسليم النهائي، الضمان، الإغلاق بالعربية وبترتيب RTL، والمرحلة الحالية مميزة، وقائمة شروط البوابة التالية بعلامات ✓/✗</t>
        </is>
      </c>
      <c r="G25" s="13" t="inlineStr">
        <is>
          <t>P2</t>
        </is>
      </c>
      <c r="H25" s="14" t="inlineStr">
        <is>
          <t>واجهة وعرض</t>
        </is>
      </c>
      <c r="I25" s="13" t="inlineStr">
        <is>
          <t>لم يُختبر</t>
        </is>
      </c>
      <c r="J25" s="14" t="inlineStr"/>
      <c r="K25" s="13" t="inlineStr"/>
      <c r="L25" s="14" t="inlineStr"/>
    </row>
    <row r="26">
      <c r="A26" s="13" t="inlineStr">
        <is>
          <t>TC-C-025</t>
        </is>
      </c>
      <c r="B26" s="14" t="inlineStr">
        <is>
          <t>المشاريع</t>
        </is>
      </c>
      <c r="C26" s="15" t="inlineStr">
        <is>
          <t>إعفاء المشروع من الاعتمادات بقائمة requiredApprovals فارغة</t>
        </is>
      </c>
      <c r="D26" s="14" t="inlineStr">
        <is>
          <t>مشروع kickoff؛ المقدمة مسددة</t>
        </is>
      </c>
      <c r="E26" s="14" t="inlineStr">
        <is>
          <t>1. عدّل المشروع ليكون requiredApprovals = []
2. اضغط التقدم</t>
        </is>
      </c>
      <c r="F26" s="14" t="inlineStr">
        <is>
          <t>تنجح البوابة بشرط الدفعة فقط، وتاريخ بدء العداد = تاريخ سداد المقدمة</t>
        </is>
      </c>
      <c r="G26" s="13" t="inlineStr">
        <is>
          <t>P2</t>
        </is>
      </c>
      <c r="H26" s="14" t="inlineStr">
        <is>
          <t>حالات حدّية</t>
        </is>
      </c>
      <c r="I26" s="13" t="inlineStr">
        <is>
          <t>لم يُختبر</t>
        </is>
      </c>
      <c r="J26" s="14" t="inlineStr"/>
      <c r="K26" s="13" t="inlineStr"/>
      <c r="L26" s="14" t="inlineStr"/>
    </row>
    <row r="27">
      <c r="A27" s="13" t="inlineStr">
        <is>
          <t>TC-C-026</t>
        </is>
      </c>
      <c r="B27" s="14" t="inlineStr">
        <is>
          <t>المشاريع</t>
        </is>
      </c>
      <c r="C27" s="15" t="inlineStr">
        <is>
          <t>إرجاع المشروع مرحلة واحدة فقط مع سبب</t>
        </is>
      </c>
      <c r="D27" s="14" t="inlineStr">
        <is>
          <t>مشروع في installation؛ مستخدم project.override</t>
        </is>
      </c>
      <c r="E27" s="14" t="inlineStr">
        <is>
          <t>1. أرسل POST /projects/:id/stage بـ to=procurement
2. ثم أعد المحاولة بـ to=delivery مع سبب</t>
        </is>
      </c>
      <c r="F27" s="14" t="inlineStr">
        <is>
          <t>المحاولة الأولى مرفوضة «can only be moved back one stage»؛ الثانية تنجح وتُسجَّل stage_back مع السبب</t>
        </is>
      </c>
      <c r="G27" s="13" t="inlineStr">
        <is>
          <t>P2</t>
        </is>
      </c>
      <c r="H27" s="14" t="inlineStr">
        <is>
          <t>حالات حدّية</t>
        </is>
      </c>
      <c r="I27" s="13" t="inlineStr">
        <is>
          <t>لم يُختبر</t>
        </is>
      </c>
      <c r="J27" s="14" t="inlineStr"/>
      <c r="K27" s="13" t="inlineStr"/>
      <c r="L27" s="14" t="inlineStr"/>
    </row>
    <row r="28">
      <c r="A28" s="13" t="inlineStr">
        <is>
          <t>TC-C-027</t>
        </is>
      </c>
      <c r="B28" s="14" t="inlineStr">
        <is>
          <t>المشاريع</t>
        </is>
      </c>
      <c r="C28" s="15" t="inlineStr">
        <is>
          <t>إرجاع المشروع من handover يعيد تشغيل العداد</t>
        </is>
      </c>
      <c r="D28" s="14" t="inlineStr">
        <is>
          <t>مشروع في handover وdeliveredOn مضبوط</t>
        </is>
      </c>
      <c r="E28" s="14" t="inlineStr">
        <is>
          <t>1. أرجع المشروع إلى commissioning مع سبب
2. افتح لوحة العداد</t>
        </is>
      </c>
      <c r="F28" s="14" t="inlineStr">
        <is>
          <t>تُمسح deliveredOn ويعود العداد للعمل (ليس stopped)</t>
        </is>
      </c>
      <c r="G28" s="13" t="inlineStr">
        <is>
          <t>P2</t>
        </is>
      </c>
      <c r="H28" s="14" t="inlineStr">
        <is>
          <t>حالات حدّية</t>
        </is>
      </c>
      <c r="I28" s="13" t="inlineStr">
        <is>
          <t>لم يُختبر</t>
        </is>
      </c>
      <c r="J28" s="14" t="inlineStr"/>
      <c r="K28" s="13" t="inlineStr"/>
      <c r="L28" s="14" t="inlineStr"/>
    </row>
    <row r="29">
      <c r="A29" s="13" t="inlineStr">
        <is>
          <t>TC-C-028</t>
        </is>
      </c>
      <c r="B29" s="14" t="inlineStr">
        <is>
          <t>المشاريع</t>
        </is>
      </c>
      <c r="C29" s="15" t="inlineStr">
        <is>
          <t>منع التقدم في مشروع مغلق أو غير نشط</t>
        </is>
      </c>
      <c r="D29" s="14" t="inlineStr">
        <is>
          <t>مشروع في مرحلة closed</t>
        </is>
      </c>
      <c r="E29" s="14" t="inlineStr">
        <is>
          <t>1. اضغط التقدم</t>
        </is>
      </c>
      <c r="F29" s="14" t="inlineStr">
        <is>
          <t>رفض «the project is closed»؛ وكذلك لمشروع status≠active</t>
        </is>
      </c>
      <c r="G29" s="13" t="inlineStr">
        <is>
          <t>P2</t>
        </is>
      </c>
      <c r="H29" s="14" t="inlineStr">
        <is>
          <t>تحقق من المدخلات</t>
        </is>
      </c>
      <c r="I29" s="13" t="inlineStr">
        <is>
          <t>لم يُختبر</t>
        </is>
      </c>
      <c r="J29" s="14" t="inlineStr"/>
      <c r="K29" s="13" t="inlineStr"/>
      <c r="L29" s="14" t="inlineStr"/>
    </row>
    <row r="30">
      <c r="A30" s="13" t="inlineStr">
        <is>
          <t>TC-C-029</t>
        </is>
      </c>
      <c r="B30" s="14" t="inlineStr">
        <is>
          <t>المشاريع</t>
        </is>
      </c>
      <c r="C30" s="15" t="inlineStr">
        <is>
          <t>منع إيقافين مفتوحين في آن واحد</t>
        </is>
      </c>
      <c r="D30" s="14" t="inlineStr">
        <is>
          <t>مشروع به إيقاف مفتوح</t>
        </is>
      </c>
      <c r="E30" s="14" t="inlineStr">
        <is>
          <t>1. أضف إيقافًا ثانيًا</t>
        </is>
      </c>
      <c r="F30" s="14" t="inlineStr">
        <is>
          <t>⚠ للتأكيد (السلوك المتوقع افتراض وليس قاعدة في الكود): رفض أو تعارض واضح؛ لا يُحتسب يوم مرتين</t>
        </is>
      </c>
      <c r="G30" s="13" t="inlineStr">
        <is>
          <t>P2</t>
        </is>
      </c>
      <c r="H30" s="14" t="inlineStr">
        <is>
          <t>تحقق من المدخلات</t>
        </is>
      </c>
      <c r="I30" s="13" t="inlineStr">
        <is>
          <t>لم يُختبر</t>
        </is>
      </c>
      <c r="J30" s="14" t="inlineStr"/>
      <c r="K30" s="13" t="inlineStr"/>
      <c r="L30" s="14" t="inlineStr"/>
    </row>
    <row r="31">
      <c r="A31" s="13" t="inlineStr">
        <is>
          <t>TC-C-030</t>
        </is>
      </c>
      <c r="B31" s="14" t="inlineStr">
        <is>
          <t>المشاريع</t>
        </is>
      </c>
      <c r="C31" s="15" t="inlineStr">
        <is>
          <t>تمديد نافذة التسليم بأمر تغيير</t>
        </is>
      </c>
      <c r="D31" s="14" t="inlineStr">
        <is>
          <t>مشروع 45–60 يومًا</t>
        </is>
      </c>
      <c r="E31" s="14" t="inlineStr">
        <is>
          <t>1. نفّذ POST /projects/:id/extend بعدد 10 أيام وسبب</t>
        </is>
      </c>
      <c r="F31" s="14" t="inlineStr">
        <is>
          <t>تصبح النافذة 55–70 وتُعاد حساب النسبة والتواريخ المستهدفة، ويُسجَّل التدقيق</t>
        </is>
      </c>
      <c r="G31" s="13" t="inlineStr">
        <is>
          <t>P2</t>
        </is>
      </c>
      <c r="H31" s="14" t="inlineStr">
        <is>
          <t>وظيفي</t>
        </is>
      </c>
      <c r="I31" s="13" t="inlineStr">
        <is>
          <t>لم يُختبر</t>
        </is>
      </c>
      <c r="J31" s="14" t="inlineStr"/>
      <c r="K31" s="13" t="inlineStr"/>
      <c r="L31" s="14" t="inlineStr"/>
    </row>
    <row r="32">
      <c r="A32" s="13" t="inlineStr">
        <is>
          <t>TC-C-031</t>
        </is>
      </c>
      <c r="B32" s="14" t="inlineStr">
        <is>
          <t>المشاريع</t>
        </is>
      </c>
      <c r="C32" s="15" t="inlineStr">
        <is>
          <t>رفض حد أدنى أكبر من الحد الأقصى</t>
        </is>
      </c>
      <c r="D32" s="14" t="inlineStr">
        <is>
          <t>مدير مشاريع</t>
        </is>
      </c>
      <c r="E32" s="14" t="inlineStr">
        <is>
          <t>1. عدّل المشروع clockMinDays=70 وclockMaxDays=60</t>
        </is>
      </c>
      <c r="F32" s="14" t="inlineStr">
        <is>
          <t>رفض 400 «the minimum delivery window cannot exceed the maximum»</t>
        </is>
      </c>
      <c r="G32" s="13" t="inlineStr">
        <is>
          <t>P2</t>
        </is>
      </c>
      <c r="H32" s="14" t="inlineStr">
        <is>
          <t>تحقق من المدخلات</t>
        </is>
      </c>
      <c r="I32" s="13" t="inlineStr">
        <is>
          <t>لم يُختبر</t>
        </is>
      </c>
      <c r="J32" s="14" t="inlineStr"/>
      <c r="K32" s="13" t="inlineStr"/>
      <c r="L32" s="14" t="inlineStr"/>
    </row>
    <row r="33">
      <c r="A33" s="13" t="inlineStr">
        <is>
          <t>TC-C-032</t>
        </is>
      </c>
      <c r="B33" s="14" t="inlineStr">
        <is>
          <t>المشاريع</t>
        </is>
      </c>
      <c r="C33" s="15" t="inlineStr">
        <is>
          <t>رفض العميل للاعتماد ثم المراجعة وإعادة الإرسال</t>
        </is>
      </c>
      <c r="D33" s="14" t="inlineStr">
        <is>
          <t>اعتماد مرسل</t>
        </is>
      </c>
      <c r="E33" s="14" t="inlineStr">
        <is>
          <t>1. ارفض من البوابة مع ملاحظة
2. أنشئ مراجعة (approvals/:aid/revise) وأعد الإرسال
3. اعتمد من البوابة</t>
        </is>
      </c>
      <c r="F33" s="14" t="inlineStr">
        <is>
          <t>تُحفظ ملاحظة الرفض والإصدارات؛ آخر إصدار معتمد بتاريخ يدخل في حساب بدء العداد</t>
        </is>
      </c>
      <c r="G33" s="13" t="inlineStr">
        <is>
          <t>P2</t>
        </is>
      </c>
      <c r="H33" s="14" t="inlineStr">
        <is>
          <t>وظيفي</t>
        </is>
      </c>
      <c r="I33" s="13" t="inlineStr">
        <is>
          <t>لم يُختبر</t>
        </is>
      </c>
      <c r="J33" s="14" t="inlineStr"/>
      <c r="K33" s="13" t="inlineStr"/>
      <c r="L33" s="14" t="inlineStr"/>
    </row>
    <row r="34">
      <c r="A34" s="13" t="inlineStr">
        <is>
          <t>TC-C-033</t>
        </is>
      </c>
      <c r="B34" s="14" t="inlineStr">
        <is>
          <t>المشاريع</t>
        </is>
      </c>
      <c r="C34" s="15" t="inlineStr">
        <is>
          <t>إنشاء مهام بتبعية بداية بعد نهاية</t>
        </is>
      </c>
      <c r="D34" s="14" t="inlineStr">
        <is>
          <t>مشروع نشط</t>
        </is>
      </c>
      <c r="E34" s="14" t="inlineStr">
        <is>
          <t>1. أنشئ مهمة A ومهمة B تعتمد على A
2. حاول جعل A تعتمد على B
3. حاول جعل مهمة تعتمد على نفسها أو مهمة من مشروع آخر</t>
        </is>
      </c>
      <c r="F34" s="14" t="inlineStr">
        <is>
          <t>B تُحفظ؛ المحاولات الثلاث الأخرى مرفوضة (دورة/نفس المهمة/مشروع آخر)</t>
        </is>
      </c>
      <c r="G34" s="13" t="inlineStr">
        <is>
          <t>P2</t>
        </is>
      </c>
      <c r="H34" s="14" t="inlineStr">
        <is>
          <t>تحقق من المدخلات</t>
        </is>
      </c>
      <c r="I34" s="13" t="inlineStr">
        <is>
          <t>لم يُختبر</t>
        </is>
      </c>
      <c r="J34" s="14" t="inlineStr"/>
      <c r="K34" s="13" t="inlineStr"/>
      <c r="L34" s="14" t="inlineStr"/>
    </row>
    <row r="35">
      <c r="A35" s="13" t="inlineStr">
        <is>
          <t>TC-C-034</t>
        </is>
      </c>
      <c r="B35" s="14" t="inlineStr">
        <is>
          <t>المشاريع</t>
        </is>
      </c>
      <c r="C35" s="15" t="inlineStr">
        <is>
          <t>قبول خارج مرحلة handover مرفوض</t>
        </is>
      </c>
      <c r="D35" s="14" t="inlineStr">
        <is>
          <t>مشروع installation</t>
        </is>
      </c>
      <c r="E35" s="14" t="inlineStr">
        <is>
          <t>1. أرسل POST /projects/:id/accept</t>
        </is>
      </c>
      <c r="F35" s="14" t="inlineStr">
        <is>
          <t>رفض «acceptance is recorded in the handover stage»</t>
        </is>
      </c>
      <c r="G35" s="13" t="inlineStr">
        <is>
          <t>P2</t>
        </is>
      </c>
      <c r="H35" s="14" t="inlineStr">
        <is>
          <t>تحقق من المدخلات</t>
        </is>
      </c>
      <c r="I35" s="13" t="inlineStr">
        <is>
          <t>لم يُختبر</t>
        </is>
      </c>
      <c r="J35" s="14" t="inlineStr"/>
      <c r="K35" s="13" t="inlineStr"/>
      <c r="L35" s="14" t="inlineStr"/>
    </row>
    <row r="36">
      <c r="A36" s="13" t="inlineStr">
        <is>
          <t>TC-C-035</t>
        </is>
      </c>
      <c r="B36" s="14" t="inlineStr">
        <is>
          <t>المشاريع</t>
        </is>
      </c>
      <c r="C36" s="15" t="inlineStr">
        <is>
          <t>حزمة التسليم تحترم الهروب RTL والعربية</t>
        </is>
      </c>
      <c r="D36" s="14" t="inlineStr">
        <is>
          <t>اسم عميل يحتوي &lt;script&gt; ونص عربي</t>
        </is>
      </c>
      <c r="E36" s="14" t="inlineStr">
        <is>
          <t>1. حمّل handover.pdf</t>
        </is>
      </c>
      <c r="F36" s="14" t="inlineStr">
        <is>
          <t>النص العربي مرتب RTL ومقروء، والوسوم تظهر كنص (esc) دون تنفيذ</t>
        </is>
      </c>
      <c r="G36" s="13" t="inlineStr">
        <is>
          <t>P2</t>
        </is>
      </c>
      <c r="H36" s="14" t="inlineStr">
        <is>
          <t>أمان</t>
        </is>
      </c>
      <c r="I36" s="13" t="inlineStr">
        <is>
          <t>لم يُختبر</t>
        </is>
      </c>
      <c r="J36" s="14" t="inlineStr"/>
      <c r="K36" s="13" t="inlineStr"/>
      <c r="L36" s="14" t="inlineStr"/>
    </row>
    <row r="37">
      <c r="A37" s="13" t="inlineStr">
        <is>
          <t>TC-C-036</t>
        </is>
      </c>
      <c r="B37" s="14" t="inlineStr">
        <is>
          <t>المشاريع</t>
        </is>
      </c>
      <c r="C37" s="15" t="inlineStr">
        <is>
          <t>صرف كمية أكبر من المتاح</t>
        </is>
      </c>
      <c r="D37" s="14" t="inlineStr">
        <is>
          <t>رصيد صنف 3</t>
        </is>
      </c>
      <c r="E37" s="14" t="inlineStr">
        <is>
          <t>1. اطلب صرف 5</t>
        </is>
      </c>
      <c r="F37" s="14" t="inlineStr">
        <is>
          <t>رفض واضح أو تحذير حسب سياسة المخزون السالب، ولا تُنشأ حركة جزئية</t>
        </is>
      </c>
      <c r="G37" s="13" t="inlineStr">
        <is>
          <t>P2</t>
        </is>
      </c>
      <c r="H37" s="14" t="inlineStr">
        <is>
          <t>حالات حدّية</t>
        </is>
      </c>
      <c r="I37" s="13" t="inlineStr">
        <is>
          <t>لم يُختبر</t>
        </is>
      </c>
      <c r="J37" s="14" t="inlineStr"/>
      <c r="K37" s="13" t="inlineStr"/>
      <c r="L37" s="14" t="inlineStr"/>
    </row>
    <row r="38">
      <c r="A38" s="13" t="inlineStr">
        <is>
          <t>TC-C-037</t>
        </is>
      </c>
      <c r="B38" s="14" t="inlineStr">
        <is>
          <t>المشاريع</t>
        </is>
      </c>
      <c r="C38" s="15" t="inlineStr">
        <is>
          <t>عرض الجدول الزمني (Timeline) للمهام</t>
        </is>
      </c>
      <c r="D38" s="14" t="inlineStr">
        <is>
          <t>مشروع به مهام بتواريخ وتبعيات</t>
        </is>
      </c>
      <c r="E38" s="14" t="inlineStr">
        <is>
          <t>1. افتح تبويب المهام/الجدول الزمني</t>
        </is>
      </c>
      <c r="F38" s="14" t="inlineStr">
        <is>
          <t>تظهر الأشرطة بترتيب صحيح RTL مع أسهم التبعية والمهام المتأخرة مميزة، وتحديث الحالة todo/doing/done</t>
        </is>
      </c>
      <c r="G38" s="13" t="inlineStr">
        <is>
          <t>P3</t>
        </is>
      </c>
      <c r="H38" s="14" t="inlineStr">
        <is>
          <t>واجهة وعرض</t>
        </is>
      </c>
      <c r="I38" s="13" t="inlineStr">
        <is>
          <t>لم يُختبر</t>
        </is>
      </c>
      <c r="J38" s="14" t="inlineStr"/>
      <c r="K38" s="13" t="inlineStr"/>
      <c r="L38" s="14" t="inlineStr"/>
    </row>
    <row r="39">
      <c r="A39" s="13" t="inlineStr">
        <is>
          <t>TC-C-038</t>
        </is>
      </c>
      <c r="B39" s="14" t="inlineStr">
        <is>
          <t>المشاريع</t>
        </is>
      </c>
      <c r="C39" s="15" t="inlineStr">
        <is>
          <t>ضمان من 31 يناير لمدة شهر يُقصّ لنهاية فبراير</t>
        </is>
      </c>
      <c r="D39" s="14" t="inlineStr">
        <is>
          <t>قبول 2026-01-31؛ ضمان تركيب 1 شهر</t>
        </is>
      </c>
      <c r="E39" s="14" t="inlineStr">
        <is>
          <t>1. انتقل إلى warranty</t>
        </is>
      </c>
      <c r="F39" s="14" t="inlineStr">
        <is>
          <t>labourEnd=2026-02-28 (آخر يوم في الشهر)</t>
        </is>
      </c>
      <c r="G39" s="13" t="inlineStr">
        <is>
          <t>P3</t>
        </is>
      </c>
      <c r="H39" s="14" t="inlineStr">
        <is>
          <t>حالات حدّية</t>
        </is>
      </c>
      <c r="I39" s="13" t="inlineStr">
        <is>
          <t>لم يُختبر</t>
        </is>
      </c>
      <c r="J39" s="14" t="inlineStr"/>
      <c r="K39" s="13" t="inlineStr"/>
      <c r="L39" s="14" t="inlineStr"/>
    </row>
    <row r="40">
      <c r="A40" s="13" t="inlineStr">
        <is>
          <t>TC-C-039</t>
        </is>
      </c>
      <c r="B40" s="14" t="inlineStr">
        <is>
          <t>المشاريع</t>
        </is>
      </c>
      <c r="C40" s="15" t="inlineStr">
        <is>
          <t>تعديل متزامن على المشروع من مستخدمين</t>
        </is>
      </c>
      <c r="D40" s="14" t="inlineStr">
        <is>
          <t>مستخدمان على نفس المشروع</t>
        </is>
      </c>
      <c r="E40" s="14" t="inlineStr">
        <is>
          <t>1. يعدّل الأول materialsReady ويحفظ
2. يحفظ الثاني من نسخة قديمة</t>
        </is>
      </c>
      <c r="F40" s="14" t="inlineStr">
        <is>
          <t>⚠ للتأكيد (السلوك المتوقع افتراض وليس قاعدة في الكود): لا ضياع صامت؛ تعارض نسخة أو آخر كتابة مع تدقيق واضح لكل تغيير</t>
        </is>
      </c>
      <c r="G40" s="13" t="inlineStr">
        <is>
          <t>P3</t>
        </is>
      </c>
      <c r="H40" s="14" t="inlineStr">
        <is>
          <t>حالات حدّية</t>
        </is>
      </c>
      <c r="I40" s="13" t="inlineStr">
        <is>
          <t>لم يُختبر</t>
        </is>
      </c>
      <c r="J40" s="14" t="inlineStr"/>
      <c r="K40" s="13" t="inlineStr"/>
      <c r="L40" s="14" t="inlineStr"/>
    </row>
    <row r="41">
      <c r="A41" s="13" t="inlineStr">
        <is>
          <t>TC-C-040</t>
        </is>
      </c>
      <c r="B41" s="14" t="inlineStr">
        <is>
          <t>المشاريع</t>
        </is>
      </c>
      <c r="C41" s="15" t="inlineStr">
        <is>
          <t>لوحة ملخص المشاريع</t>
        </is>
      </c>
      <c r="D41" s="14" t="inlineStr">
        <is>
          <t>عدة مشاريع بمستويات عداد مختلفة</t>
        </is>
      </c>
      <c r="E41" s="14" t="inlineStr">
        <is>
          <t>1. افتح لوحة المشاريع (dashboard/summary)</t>
        </is>
      </c>
      <c r="F41" s="14" t="inlineStr">
        <is>
          <t>تعرض الأعداد حسب المرحلة والمشاريع المتأخرة/المحذّرة بدقة</t>
        </is>
      </c>
      <c r="G41" s="13" t="inlineStr">
        <is>
          <t>P3</t>
        </is>
      </c>
      <c r="H41" s="14" t="inlineStr">
        <is>
          <t>واجهة وعرض</t>
        </is>
      </c>
      <c r="I41" s="13" t="inlineStr">
        <is>
          <t>لم يُختبر</t>
        </is>
      </c>
      <c r="J41" s="14" t="inlineStr"/>
      <c r="K41" s="13" t="inlineStr"/>
      <c r="L41" s="14" t="inlineStr"/>
    </row>
    <row r="42">
      <c r="A42" s="13" t="inlineStr">
        <is>
          <t>TC-C-041</t>
        </is>
      </c>
      <c r="B42" s="14" t="inlineStr">
        <is>
          <t>تقويم الشركة</t>
        </is>
      </c>
      <c r="C42" s="15" t="inlineStr">
        <is>
          <t>تعديل أيام العمل يغيّر حسابات العداد وSLA</t>
        </is>
      </c>
      <c r="D42" s="14" t="inlineStr">
        <is>
          <t>مدير بصلاحية admin.settings</t>
        </is>
      </c>
      <c r="E42" s="14" t="inlineStr">
        <is>
          <t>1. غيّر أيام العمل لتشمل السبت (PUT /calendar/working-days)
2. افتح مشروعًا وتذكرة</t>
        </is>
      </c>
      <c r="F42" s="14" t="inlineStr">
        <is>
          <t>يُعاد حساب elapsed وموعد SLA بأيام العمل الجديدة</t>
        </is>
      </c>
      <c r="G42" s="13" t="inlineStr">
        <is>
          <t>P2</t>
        </is>
      </c>
      <c r="H42" s="14" t="inlineStr">
        <is>
          <t>تكامل</t>
        </is>
      </c>
      <c r="I42" s="13" t="inlineStr">
        <is>
          <t>لم يُختبر</t>
        </is>
      </c>
      <c r="J42" s="14" t="inlineStr"/>
      <c r="K42" s="13" t="inlineStr"/>
      <c r="L42" s="14" t="inlineStr"/>
    </row>
    <row r="43">
      <c r="A43" s="13" t="inlineStr">
        <is>
          <t>TC-C-042</t>
        </is>
      </c>
      <c r="B43" s="14" t="inlineStr">
        <is>
          <t>تقويم الشركة</t>
        </is>
      </c>
      <c r="C43" s="15" t="inlineStr">
        <is>
          <t>إضافة عطلة عيد وزرع العطل الثابتة</t>
        </is>
      </c>
      <c r="D43" s="14" t="inlineStr">
        <is>
          <t>مدير</t>
        </is>
      </c>
      <c r="E43" s="14" t="inlineStr">
        <is>
          <t>1. اضغط holidays/seed-fixed لسنة 2027
2. أضف عطلة عيد الفطر يدويًا</t>
        </is>
      </c>
      <c r="F43" s="14" t="inlineStr">
        <is>
          <t>تُضاف 2027-02-22 (يوم التأسيس) و2027-09-23 (اليوم الوطني) دون تكرار عند إعادة الزرع، وتُحفظ العطلة اليدوية</t>
        </is>
      </c>
      <c r="G43" s="13" t="inlineStr">
        <is>
          <t>P2</t>
        </is>
      </c>
      <c r="H43" s="14" t="inlineStr">
        <is>
          <t>وظيفي</t>
        </is>
      </c>
      <c r="I43" s="13" t="inlineStr">
        <is>
          <t>لم يُختبر</t>
        </is>
      </c>
      <c r="J43" s="14" t="inlineStr"/>
      <c r="K43" s="13" t="inlineStr"/>
      <c r="L43" s="14" t="inlineStr"/>
    </row>
    <row r="44">
      <c r="A44" s="13" t="inlineStr">
        <is>
          <t>TC-C-043</t>
        </is>
      </c>
      <c r="B44" s="14" t="inlineStr">
        <is>
          <t>تقويم الشركة</t>
        </is>
      </c>
      <c r="C44" s="15" t="inlineStr">
        <is>
          <t>ضبط نطاق رمضان</t>
        </is>
      </c>
      <c r="D44" s="14" t="inlineStr">
        <is>
          <t>مدير</t>
        </is>
      </c>
      <c r="E44" s="14" t="inlineStr">
        <is>
          <t>1. احفظ رمضان من 2027-02-08 إلى 2027-03-09
2. أدخل نطاقًا تاريخ نهايته قبل بدايته</t>
        </is>
      </c>
      <c r="F44" s="14" t="inlineStr">
        <is>
          <t>الأول يُحفظ ويُستخدم في تحذيرات الجدولة؛ الثاني مرفوض</t>
        </is>
      </c>
      <c r="G44" s="13" t="inlineStr">
        <is>
          <t>P2</t>
        </is>
      </c>
      <c r="H44" s="14" t="inlineStr">
        <is>
          <t>تحقق من المدخلات</t>
        </is>
      </c>
      <c r="I44" s="13" t="inlineStr">
        <is>
          <t>لم يُختبر</t>
        </is>
      </c>
      <c r="J44" s="14" t="inlineStr"/>
      <c r="K44" s="13" t="inlineStr"/>
      <c r="L44" s="14" t="inlineStr"/>
    </row>
    <row r="45">
      <c r="A45" s="13" t="inlineStr">
        <is>
          <t>TC-C-044</t>
        </is>
      </c>
      <c r="B45" s="14" t="inlineStr">
        <is>
          <t>تقويم الشركة</t>
        </is>
      </c>
      <c r="C45" s="15" t="inlineStr">
        <is>
          <t>منع غير المدير من تعديل التقويم</t>
        </is>
      </c>
      <c r="D45" s="14" t="inlineStr">
        <is>
          <t>مستخدم بلا admin.settings</t>
        </is>
      </c>
      <c r="E45" s="14" t="inlineStr">
        <is>
          <t>1. أرسل PUT /calendar/ramadan</t>
        </is>
      </c>
      <c r="F45" s="14" t="inlineStr">
        <is>
          <t>403</t>
        </is>
      </c>
      <c r="G45" s="13" t="inlineStr">
        <is>
          <t>P2</t>
        </is>
      </c>
      <c r="H45" s="14" t="inlineStr">
        <is>
          <t>صلاحيات</t>
        </is>
      </c>
      <c r="I45" s="13" t="inlineStr">
        <is>
          <t>لم يُختبر</t>
        </is>
      </c>
      <c r="J45" s="14" t="inlineStr"/>
      <c r="K45" s="13" t="inlineStr"/>
      <c r="L45" s="14" t="inlineStr"/>
    </row>
    <row r="46">
      <c r="A46" s="13" t="inlineStr">
        <is>
          <t>TC-C-045</t>
        </is>
      </c>
      <c r="B46" s="14" t="inlineStr">
        <is>
          <t>القاعدة المركّبة (المواقع والأجهزة)</t>
        </is>
      </c>
      <c r="C46" s="15" t="inlineStr">
        <is>
          <t>مولد المواقع الجماعي: مبنى/طوابق/وحدات</t>
        </is>
      </c>
      <c r="D46" s="14" t="inlineStr">
        <is>
          <t>موقع عميل؛ صلاحية asset.write</t>
        </is>
      </c>
      <c r="E46" s="14" t="inlineStr">
        <is>
          <t>1. استخدم المولد: مبنى A، 3 طوابق تبدأ من 1، بادئة F، 4 وحدات/طابق
2. كرر نفس الطلب</t>
        </is>
      </c>
      <c r="F46" s="14" t="inlineStr">
        <is>
          <t>تُنشأ الوحدات 101..104، 201..204، 301..304 تحت F1..F3؛ التكرار لا ينشئ عقدًا مكررة (created=0)</t>
        </is>
      </c>
      <c r="G46" s="13" t="inlineStr">
        <is>
          <t>P1</t>
        </is>
      </c>
      <c r="H46" s="14" t="inlineStr">
        <is>
          <t>وظيفي</t>
        </is>
      </c>
      <c r="I46" s="13" t="inlineStr">
        <is>
          <t>لم يُختبر</t>
        </is>
      </c>
      <c r="J46" s="14" t="inlineStr"/>
      <c r="K46" s="13" t="inlineStr"/>
      <c r="L46" s="14" t="inlineStr"/>
    </row>
    <row r="47">
      <c r="A47" s="13" t="inlineStr">
        <is>
          <t>TC-C-046</t>
        </is>
      </c>
      <c r="B47" s="14" t="inlineStr">
        <is>
          <t>القاعدة المركّبة (المواقع والأجهزة)</t>
        </is>
      </c>
      <c r="C47" s="15" t="inlineStr">
        <is>
          <t>تسجيل جهاز بالتسلسلي وMAC وIP والبرنامج</t>
        </is>
      </c>
      <c r="D47" s="14" t="inlineStr">
        <is>
          <t>موقع ووحدة</t>
        </is>
      </c>
      <c r="E47" s="14" t="inlineStr">
        <is>
          <t>1. أضف جهازًا بـ MAC=aa-bb-cc-dd-ee-ff
2. افتح الجهاز</t>
        </is>
      </c>
      <c r="F47" s="14" t="inlineStr">
        <is>
          <t>يُحفظ MAC مطبّعًا AA:BB:CC:DD:EE:FF ويظهر في الشجرة</t>
        </is>
      </c>
      <c r="G47" s="13" t="inlineStr">
        <is>
          <t>P1</t>
        </is>
      </c>
      <c r="H47" s="14" t="inlineStr">
        <is>
          <t>وظيفي</t>
        </is>
      </c>
      <c r="I47" s="13" t="inlineStr">
        <is>
          <t>لم يُختبر</t>
        </is>
      </c>
      <c r="J47" s="14" t="inlineStr"/>
      <c r="K47" s="13" t="inlineStr"/>
      <c r="L47" s="14" t="inlineStr"/>
    </row>
    <row r="48">
      <c r="A48" s="13" t="inlineStr">
        <is>
          <t>TC-C-047</t>
        </is>
      </c>
      <c r="B48" s="14" t="inlineStr">
        <is>
          <t>القاعدة المركّبة (المواقع والأجهزة)</t>
        </is>
      </c>
      <c r="C48" s="15" t="inlineStr">
        <is>
          <t>منع تكرار الكود + التسلسلي</t>
        </is>
      </c>
      <c r="D48" s="14" t="inlineStr">
        <is>
          <t>جهاز مسجّل بكود VTO-1 وتسلسلي SN1</t>
        </is>
      </c>
      <c r="E48" s="14" t="inlineStr">
        <is>
          <t>1. سجّل جهازًا آخر بنفس الكود والتسلسلي</t>
        </is>
      </c>
      <c r="F48" s="14" t="inlineStr">
        <is>
          <t>رفض «already registered»</t>
        </is>
      </c>
      <c r="G48" s="13" t="inlineStr">
        <is>
          <t>P1</t>
        </is>
      </c>
      <c r="H48" s="14" t="inlineStr">
        <is>
          <t>تحقق من المدخلات</t>
        </is>
      </c>
      <c r="I48" s="13" t="inlineStr">
        <is>
          <t>لم يُختبر</t>
        </is>
      </c>
      <c r="J48" s="14" t="inlineStr"/>
      <c r="K48" s="13" t="inlineStr"/>
      <c r="L48" s="14" t="inlineStr"/>
    </row>
    <row r="49">
      <c r="A49" s="13" t="inlineStr">
        <is>
          <t>TC-C-048</t>
        </is>
      </c>
      <c r="B49" s="14" t="inlineStr">
        <is>
          <t>القاعدة المركّبة (المواقع والأجهزة)</t>
        </is>
      </c>
      <c r="C49" s="15" t="inlineStr">
        <is>
          <t>استيراد CSV بتشغيل تجريبي (dry run)</t>
        </is>
      </c>
      <c r="D49" s="14" t="inlineStr">
        <is>
          <t>ملف CSV بـ 10 أسطر بينها MAC خاطئ وتكرار داخل الملف</t>
        </is>
      </c>
      <c r="E49" s="14" t="inlineStr">
        <is>
          <t>1. ارفع الملف مع dryRun=true
2. راجع التقرير
3. تحقق من عدم إنشاء أي جهاز أو موقع</t>
        </is>
      </c>
      <c r="F49" s="14" t="inlineStr">
        <is>
          <t>total=10، created=0، valid=8، errors بالسطر والسبب؛ لا تُنشأ أجهزة ولا مواقع (Rollback)</t>
        </is>
      </c>
      <c r="G49" s="13" t="inlineStr">
        <is>
          <t>P1</t>
        </is>
      </c>
      <c r="H49" s="14" t="inlineStr">
        <is>
          <t>وظيفي</t>
        </is>
      </c>
      <c r="I49" s="13" t="inlineStr">
        <is>
          <t>لم يُختبر</t>
        </is>
      </c>
      <c r="J49" s="14" t="inlineStr"/>
      <c r="K49" s="13" t="inlineStr"/>
      <c r="L49" s="14" t="inlineStr"/>
    </row>
    <row r="50">
      <c r="A50" s="13" t="inlineStr">
        <is>
          <t>TC-C-049</t>
        </is>
      </c>
      <c r="B50" s="14" t="inlineStr">
        <is>
          <t>القاعدة المركّبة (المواقع والأجهزة)</t>
        </is>
      </c>
      <c r="C50" s="15" t="inlineStr">
        <is>
          <t>استيراد CSV فعلي مع إنشاء مسارات المواقع</t>
        </is>
      </c>
      <c r="D50" s="14" t="inlineStr">
        <is>
          <t>CSV به عمود location مثل A/F1/101</t>
        </is>
      </c>
      <c r="E50" s="14" t="inlineStr">
        <is>
          <t>1. ارفع dryRun=false</t>
        </is>
      </c>
      <c r="F50" s="14" t="inlineStr">
        <is>
          <t>تُنشأ الأجهزة الصالحة والمواقع الناقصة (locationsCreated) وتدقيق import بالأعداد</t>
        </is>
      </c>
      <c r="G50" s="13" t="inlineStr">
        <is>
          <t>P1</t>
        </is>
      </c>
      <c r="H50" s="14" t="inlineStr">
        <is>
          <t>وظيفي</t>
        </is>
      </c>
      <c r="I50" s="13" t="inlineStr">
        <is>
          <t>لم يُختبر</t>
        </is>
      </c>
      <c r="J50" s="14" t="inlineStr"/>
      <c r="K50" s="13" t="inlineStr"/>
      <c r="L50" s="14" t="inlineStr"/>
    </row>
    <row r="51">
      <c r="A51" s="13" t="inlineStr">
        <is>
          <t>TC-C-050</t>
        </is>
      </c>
      <c r="B51" s="14" t="inlineStr">
        <is>
          <t>القاعدة المركّبة (المواقع والأجهزة)</t>
        </is>
      </c>
      <c r="C51" s="15" t="inlineStr">
        <is>
          <t>تسجيل اختبار تشغيل (نجاح/فشل)</t>
        </is>
      </c>
      <c r="D51" s="14" t="inlineStr">
        <is>
          <t>جهاز في مشروع commissioning</t>
        </is>
      </c>
      <c r="E51" s="14" t="inlineStr">
        <is>
          <t>1. سجّل اختبارًا فاشلًا ثم ناجحًا (assets/:id/test)</t>
        </is>
      </c>
      <c r="F51" s="14" t="inlineStr">
        <is>
          <t>يُحفظ السجل بالترتيب؛ الجهاز يُعد مختبرًا بعد النجاح فقط، وينعكس على بوابة commissioning</t>
        </is>
      </c>
      <c r="G51" s="13" t="inlineStr">
        <is>
          <t>P1</t>
        </is>
      </c>
      <c r="H51" s="14" t="inlineStr">
        <is>
          <t>تكامل</t>
        </is>
      </c>
      <c r="I51" s="13" t="inlineStr">
        <is>
          <t>لم يُختبر</t>
        </is>
      </c>
      <c r="J51" s="14" t="inlineStr"/>
      <c r="K51" s="13" t="inlineStr"/>
      <c r="L51" s="14" t="inlineStr"/>
    </row>
    <row r="52">
      <c r="A52" s="13" t="inlineStr">
        <is>
          <t>TC-C-051</t>
        </is>
      </c>
      <c r="B52" s="14" t="inlineStr">
        <is>
          <t>القاعدة المركّبة (المواقع والأجهزة)</t>
        </is>
      </c>
      <c r="C52" s="15" t="inlineStr">
        <is>
          <t>فني بنطاق own لا يعدّل تواريخ الضمان</t>
        </is>
      </c>
      <c r="D52" s="14" t="inlineStr">
        <is>
          <t>فني asset.write بنطاق own</t>
        </is>
      </c>
      <c r="E52" s="14" t="inlineStr">
        <is>
          <t>1. أنشئ/عدّل جهازًا مع labourWarrantyEnd</t>
        </is>
      </c>
      <c r="F52" s="14" t="inlineStr">
        <is>
          <t>تُحفظ بقية الحقول وتُتجاهل حقول الضمان</t>
        </is>
      </c>
      <c r="G52" s="13" t="inlineStr">
        <is>
          <t>P1</t>
        </is>
      </c>
      <c r="H52" s="14" t="inlineStr">
        <is>
          <t>صلاحيات</t>
        </is>
      </c>
      <c r="I52" s="13" t="inlineStr">
        <is>
          <t>لم يُختبر</t>
        </is>
      </c>
      <c r="J52" s="14" t="inlineStr"/>
      <c r="K52" s="13" t="inlineStr"/>
      <c r="L52" s="14" t="inlineStr"/>
    </row>
    <row r="53">
      <c r="A53" s="13" t="inlineStr">
        <is>
          <t>TC-C-052</t>
        </is>
      </c>
      <c r="B53" s="14" t="inlineStr">
        <is>
          <t>القاعدة المركّبة (المواقع والأجهزة)</t>
        </is>
      </c>
      <c r="C53" s="15" t="inlineStr">
        <is>
          <t>منع ربط موقع بأب من موقع آخر</t>
        </is>
      </c>
      <c r="D53" s="14" t="inlineStr">
        <is>
          <t>موقعان X وY</t>
        </is>
      </c>
      <c r="E53" s="14" t="inlineStr">
        <is>
          <t>1. أضف موقعًا في X بـ parentId من Y</t>
        </is>
      </c>
      <c r="F53" s="14" t="inlineStr">
        <is>
          <t>رفض «the parent location belongs to another site»</t>
        </is>
      </c>
      <c r="G53" s="13" t="inlineStr">
        <is>
          <t>P2</t>
        </is>
      </c>
      <c r="H53" s="14" t="inlineStr">
        <is>
          <t>تحقق من المدخلات</t>
        </is>
      </c>
      <c r="I53" s="13" t="inlineStr">
        <is>
          <t>لم يُختبر</t>
        </is>
      </c>
      <c r="J53" s="14" t="inlineStr"/>
      <c r="K53" s="13" t="inlineStr"/>
      <c r="L53" s="14" t="inlineStr"/>
    </row>
    <row r="54">
      <c r="A54" s="13" t="inlineStr">
        <is>
          <t>TC-C-053</t>
        </is>
      </c>
      <c r="B54" s="14" t="inlineStr">
        <is>
          <t>القاعدة المركّبة (المواقع والأجهزة)</t>
        </is>
      </c>
      <c r="C54" s="15" t="inlineStr">
        <is>
          <t>حذف موقع عليه أجهزة</t>
        </is>
      </c>
      <c r="D54" s="14" t="inlineStr">
        <is>
          <t>وحدة بها جهاز</t>
        </is>
      </c>
      <c r="E54" s="14" t="inlineStr">
        <is>
          <t>1. احذف الوحدة</t>
        </is>
      </c>
      <c r="F54" s="14" t="inlineStr">
        <is>
          <t>⚠ للتأكيد (السلوك المتوقع افتراض وليس قاعدة في الكود): رفض أو تحذير يمنع ترك أجهزة يتيمة</t>
        </is>
      </c>
      <c r="G54" s="13" t="inlineStr">
        <is>
          <t>P2</t>
        </is>
      </c>
      <c r="H54" s="14" t="inlineStr">
        <is>
          <t>حالات حدّية</t>
        </is>
      </c>
      <c r="I54" s="13" t="inlineStr">
        <is>
          <t>لم يُختبر</t>
        </is>
      </c>
      <c r="J54" s="14" t="inlineStr"/>
      <c r="K54" s="13" t="inlineStr"/>
      <c r="L54" s="14" t="inlineStr"/>
    </row>
    <row r="55">
      <c r="A55" s="13" t="inlineStr">
        <is>
          <t>TC-C-054</t>
        </is>
      </c>
      <c r="B55" s="14" t="inlineStr">
        <is>
          <t>القاعدة المركّبة (المواقع والأجهزة)</t>
        </is>
      </c>
      <c r="C55" s="15" t="inlineStr">
        <is>
          <t>رفض MAC غير صالح</t>
        </is>
      </c>
      <c r="D55" s="14" t="inlineStr">
        <is>
          <t>—</t>
        </is>
      </c>
      <c r="E55" s="14" t="inlineStr">
        <is>
          <t>1. أضف جهازًا بـ MAC=12:34:56</t>
        </is>
      </c>
      <c r="F55" s="14" t="inlineStr">
        <is>
          <t>رفض بخطأ MAC غير صالح</t>
        </is>
      </c>
      <c r="G55" s="13" t="inlineStr">
        <is>
          <t>P2</t>
        </is>
      </c>
      <c r="H55" s="14" t="inlineStr">
        <is>
          <t>تحقق من المدخلات</t>
        </is>
      </c>
      <c r="I55" s="13" t="inlineStr">
        <is>
          <t>لم يُختبر</t>
        </is>
      </c>
      <c r="J55" s="14" t="inlineStr"/>
      <c r="K55" s="13" t="inlineStr"/>
      <c r="L55" s="14" t="inlineStr"/>
    </row>
    <row r="56">
      <c r="A56" s="13" t="inlineStr">
        <is>
          <t>TC-C-055</t>
        </is>
      </c>
      <c r="B56" s="14" t="inlineStr">
        <is>
          <t>القاعدة المركّبة (المواقع والأجهزة)</t>
        </is>
      </c>
      <c r="C56" s="15" t="inlineStr">
        <is>
          <t>CSV بعناوين مختلفة (sn, fw, path) وبدون رأس</t>
        </is>
      </c>
      <c r="D56" s="14" t="inlineStr">
        <is>
          <t>ملفان: الأول برأس بأسماء بديلة والثاني بدون رأس</t>
        </is>
      </c>
      <c r="E56" s="14" t="inlineStr">
        <is>
          <t>1. استورد كلًا منهما تجريبيًا</t>
        </is>
      </c>
      <c r="F56" s="14" t="inlineStr">
        <is>
          <t>الأول يُطابق الأعمدة بالأسماء البديلة؛ الثاني يعتمد الترتيب code,serial,mac,ip,firmware,location</t>
        </is>
      </c>
      <c r="G56" s="13" t="inlineStr">
        <is>
          <t>P2</t>
        </is>
      </c>
      <c r="H56" s="14" t="inlineStr">
        <is>
          <t>تحقق من المدخلات</t>
        </is>
      </c>
      <c r="I56" s="13" t="inlineStr">
        <is>
          <t>لم يُختبر</t>
        </is>
      </c>
      <c r="J56" s="14" t="inlineStr"/>
      <c r="K56" s="13" t="inlineStr"/>
      <c r="L56" s="14" t="inlineStr"/>
    </row>
    <row r="57">
      <c r="A57" s="13" t="inlineStr">
        <is>
          <t>TC-C-056</t>
        </is>
      </c>
      <c r="B57" s="14" t="inlineStr">
        <is>
          <t>القاعدة المركّبة (المواقع والأجهزة)</t>
        </is>
      </c>
      <c r="C57" s="15" t="inlineStr">
        <is>
          <t>حد 5000 جهاز للاستيراد</t>
        </is>
      </c>
      <c r="D57" s="14" t="inlineStr">
        <is>
          <t>CSV بـ 5001 سطر بيانات</t>
        </is>
      </c>
      <c r="E57" s="14" t="inlineStr">
        <is>
          <t>1. استورد</t>
        </is>
      </c>
      <c r="F57" s="14" t="inlineStr">
        <is>
          <t>رفض «at most 5000 devices per import»</t>
        </is>
      </c>
      <c r="G57" s="13" t="inlineStr">
        <is>
          <t>P2</t>
        </is>
      </c>
      <c r="H57" s="14" t="inlineStr">
        <is>
          <t>أداء</t>
        </is>
      </c>
      <c r="I57" s="13" t="inlineStr">
        <is>
          <t>لم يُختبر</t>
        </is>
      </c>
      <c r="J57" s="14" t="inlineStr"/>
      <c r="K57" s="13" t="inlineStr"/>
      <c r="L57" s="14" t="inlineStr"/>
    </row>
    <row r="58">
      <c r="A58" s="13" t="inlineStr">
        <is>
          <t>TC-C-057</t>
        </is>
      </c>
      <c r="B58" s="14" t="inlineStr">
        <is>
          <t>القاعدة المركّبة (المواقع والأجهزة)</t>
        </is>
      </c>
      <c r="C58" s="15" t="inlineStr">
        <is>
          <t>CSV بترميز عربي وفواصل داخل علامات تنصيص</t>
        </is>
      </c>
      <c r="D58" s="14" t="inlineStr">
        <is>
          <t>CSV UTF-8 بأسماء مواقع عربية وحقل بين علامات تنصيص يحتوي فاصلة</t>
        </is>
      </c>
      <c r="E58" s="14" t="inlineStr">
        <is>
          <t>1. استورد تجريبيًا</t>
        </is>
      </c>
      <c r="F58" s="14" t="inlineStr">
        <is>
          <t>تُقرأ القيم العربية والحقول المقتبسة بشكل صحيح</t>
        </is>
      </c>
      <c r="G58" s="13" t="inlineStr">
        <is>
          <t>P2</t>
        </is>
      </c>
      <c r="H58" s="14" t="inlineStr">
        <is>
          <t>تحقق من المدخلات</t>
        </is>
      </c>
      <c r="I58" s="13" t="inlineStr">
        <is>
          <t>لم يُختبر</t>
        </is>
      </c>
      <c r="J58" s="14" t="inlineStr"/>
      <c r="K58" s="13" t="inlineStr"/>
      <c r="L58" s="14" t="inlineStr"/>
    </row>
    <row r="59">
      <c r="A59" s="13" t="inlineStr">
        <is>
          <t>TC-C-058</t>
        </is>
      </c>
      <c r="B59" s="14" t="inlineStr">
        <is>
          <t>القاعدة المركّبة (المواقع والأجهزة)</t>
        </is>
      </c>
      <c r="C59" s="15" t="inlineStr">
        <is>
          <t>عرض التغطية على صفحة الجهاز</t>
        </is>
      </c>
      <c r="D59" s="14" t="inlineStr">
        <is>
          <t>جهاز ضمانه ساري وموقع عليه عقد صيانة</t>
        </is>
      </c>
      <c r="E59" s="14" t="inlineStr">
        <is>
          <t>1. افتح صفحة الجهاز</t>
        </is>
      </c>
      <c r="F59" s="14" t="inlineStr">
        <is>
          <t>تظهر التغطية «ضمان» مع تاريخ الانتهاء (الضمان مقدّم على AMC)</t>
        </is>
      </c>
      <c r="G59" s="13" t="inlineStr">
        <is>
          <t>P2</t>
        </is>
      </c>
      <c r="H59" s="14" t="inlineStr">
        <is>
          <t>واجهة وعرض</t>
        </is>
      </c>
      <c r="I59" s="13" t="inlineStr">
        <is>
          <t>لم يُختبر</t>
        </is>
      </c>
      <c r="J59" s="14" t="inlineStr"/>
      <c r="K59" s="13" t="inlineStr"/>
      <c r="L59" s="14" t="inlineStr"/>
    </row>
    <row r="60">
      <c r="A60" s="13" t="inlineStr">
        <is>
          <t>TC-C-059</t>
        </is>
      </c>
      <c r="B60" s="14" t="inlineStr">
        <is>
          <t>القاعدة المركّبة (المواقع والأجهزة)</t>
        </is>
      </c>
      <c r="C60" s="15" t="inlineStr">
        <is>
          <t>جهاز لا يكون أبًا لنفسه</t>
        </is>
      </c>
      <c r="D60" s="14" t="inlineStr">
        <is>
          <t>جهاز موجود</t>
        </is>
      </c>
      <c r="E60" s="14" t="inlineStr">
        <is>
          <t>1. عدّل parentAssetId = نفس المعرف</t>
        </is>
      </c>
      <c r="F60" s="14" t="inlineStr">
        <is>
          <t>رفض «a device cannot be its own parent»</t>
        </is>
      </c>
      <c r="G60" s="13" t="inlineStr">
        <is>
          <t>P3</t>
        </is>
      </c>
      <c r="H60" s="14" t="inlineStr">
        <is>
          <t>تحقق من المدخلات</t>
        </is>
      </c>
      <c r="I60" s="13" t="inlineStr">
        <is>
          <t>لم يُختبر</t>
        </is>
      </c>
      <c r="J60" s="14" t="inlineStr"/>
      <c r="K60" s="13" t="inlineStr"/>
      <c r="L60" s="14" t="inlineStr"/>
    </row>
    <row r="61">
      <c r="A61" s="13" t="inlineStr">
        <is>
          <t>TC-C-060</t>
        </is>
      </c>
      <c r="B61" s="14" t="inlineStr">
        <is>
          <t>القاعدة المركّبة (المواقع والأجهزة)</t>
        </is>
      </c>
      <c r="C61" s="15" t="inlineStr">
        <is>
          <t>أداء شجرة موقع بها 2000 وحدة</t>
        </is>
      </c>
      <c r="D61" s="14" t="inlineStr">
        <is>
          <t>موقع كبير</t>
        </is>
      </c>
      <c r="E61" s="14" t="inlineStr">
        <is>
          <t>1. افتح الشجرة وابحث عن وحدة</t>
        </is>
      </c>
      <c r="F61" s="14" t="inlineStr">
        <is>
          <t>⚠ للتأكيد (السلوك المتوقع افتراض وليس قاعدة في الكود): تحميل خلال زمن مقبول (&lt; 3 ث) دون تجمد الواجهة</t>
        </is>
      </c>
      <c r="G61" s="13" t="inlineStr">
        <is>
          <t>P3</t>
        </is>
      </c>
      <c r="H61" s="14" t="inlineStr">
        <is>
          <t>أداء</t>
        </is>
      </c>
      <c r="I61" s="13" t="inlineStr">
        <is>
          <t>لم يُختبر</t>
        </is>
      </c>
      <c r="J61" s="14" t="inlineStr"/>
      <c r="K61" s="13" t="inlineStr"/>
      <c r="L61" s="14" t="inlineStr"/>
    </row>
    <row r="62">
      <c r="A62" s="13" t="inlineStr">
        <is>
          <t>TC-C-061</t>
        </is>
      </c>
      <c r="B62" s="14" t="inlineStr">
        <is>
          <t>بلاغات الخدمة</t>
        </is>
      </c>
      <c r="C62" s="15" t="inlineStr">
        <is>
          <t>إنشاء بلاغ هاتفي ومطابقة المتصل بالرقم</t>
        </is>
      </c>
      <c r="D62" s="14" t="inlineStr">
        <is>
          <t>عميل رقمه 0551234567 مسجّل</t>
        </is>
      </c>
      <c r="E62" s="14" t="inlineStr">
        <is>
          <t>1. أنشئ بلاغًا بقناة هاتف وأدخل +966551234567</t>
        </is>
      </c>
      <c r="F62" s="14" t="inlineStr">
        <is>
          <t>يُطابق الرقم بعد التطبيع مع العميل وموقعه تلقائيًا</t>
        </is>
      </c>
      <c r="G62" s="13" t="inlineStr">
        <is>
          <t>P1</t>
        </is>
      </c>
      <c r="H62" s="14" t="inlineStr">
        <is>
          <t>وظيفي</t>
        </is>
      </c>
      <c r="I62" s="13" t="inlineStr">
        <is>
          <t>لم يُختبر</t>
        </is>
      </c>
      <c r="J62" s="14" t="inlineStr"/>
      <c r="K62" s="13" t="inlineStr"/>
      <c r="L62" s="14" t="inlineStr"/>
    </row>
    <row r="63">
      <c r="A63" s="13" t="inlineStr">
        <is>
          <t>TC-C-062</t>
        </is>
      </c>
      <c r="B63" s="14" t="inlineStr">
        <is>
          <t>بلاغات الخدمة</t>
        </is>
      </c>
      <c r="C63" s="15" t="inlineStr">
        <is>
          <t>قرار التغطية: مشروع قيد التنفيذ</t>
        </is>
      </c>
      <c r="D63" s="14" t="inlineStr">
        <is>
          <t>موقع عليه مشروع لم يُقبل بعد</t>
        </is>
      </c>
      <c r="E63" s="14" t="inlineStr">
        <is>
          <t>1. أنشئ بلاغًا على جهاز في الموقع</t>
        </is>
      </c>
      <c r="F63" s="14" t="inlineStr">
        <is>
          <t>coverage=project بسبب «ضمن مشروع قيد التنفيذ» ويُخزَّن مع البلاغ</t>
        </is>
      </c>
      <c r="G63" s="13" t="inlineStr">
        <is>
          <t>P1</t>
        </is>
      </c>
      <c r="H63" s="14" t="inlineStr">
        <is>
          <t>وظيفي</t>
        </is>
      </c>
      <c r="I63" s="13" t="inlineStr">
        <is>
          <t>لم يُختبر</t>
        </is>
      </c>
      <c r="J63" s="14" t="inlineStr"/>
      <c r="K63" s="13" t="inlineStr"/>
      <c r="L63" s="14" t="inlineStr"/>
    </row>
    <row r="64">
      <c r="A64" s="13" t="inlineStr">
        <is>
          <t>TC-C-063</t>
        </is>
      </c>
      <c r="B64" s="14" t="inlineStr">
        <is>
          <t>بلاغات الخدمة</t>
        </is>
      </c>
      <c r="C64" s="15" t="inlineStr">
        <is>
          <t>قرار التغطية: ضمان التركيب ساري والقطع منتهية</t>
        </is>
      </c>
      <c r="D64" s="14" t="inlineStr">
        <is>
          <t>جهاز labourEnd=2026-12-31 وpartsEnd=2026-09-30؛ اليوم 2026-10-08</t>
        </is>
      </c>
      <c r="E64" s="14" t="inlineStr">
        <is>
          <t>1. أنشئ بلاغًا على الجهاز</t>
        </is>
      </c>
      <c r="F64" s="14" t="inlineStr">
        <is>
          <t>coverage=warranty والسبب يذكر «القطع خارج الضمان»</t>
        </is>
      </c>
      <c r="G64" s="13" t="inlineStr">
        <is>
          <t>P1</t>
        </is>
      </c>
      <c r="H64" s="14" t="inlineStr">
        <is>
          <t>حالات حدّية</t>
        </is>
      </c>
      <c r="I64" s="13" t="inlineStr">
        <is>
          <t>لم يُختبر</t>
        </is>
      </c>
      <c r="J64" s="14" t="inlineStr"/>
      <c r="K64" s="13" t="inlineStr"/>
      <c r="L64" s="14" t="inlineStr"/>
    </row>
    <row r="65">
      <c r="A65" s="13" t="inlineStr">
        <is>
          <t>TC-C-064</t>
        </is>
      </c>
      <c r="B65" s="14" t="inlineStr">
        <is>
          <t>بلاغات الخدمة</t>
        </is>
      </c>
      <c r="C65" s="15" t="inlineStr">
        <is>
          <t>قرار التغطية: يوم انتهاء الضمان نفسه</t>
        </is>
      </c>
      <c r="D65" s="14" t="inlineStr">
        <is>
          <t>labourEnd = اليوم</t>
        </is>
      </c>
      <c r="E65" s="14" t="inlineStr">
        <is>
          <t>1. أنشئ البلاغ</t>
        </is>
      </c>
      <c r="F65" s="14" t="inlineStr">
        <is>
          <t>warranty (المقارنة شاملة لليوم الأخير)؛ وفي اليوم التالي تصبح amc أو chargeable</t>
        </is>
      </c>
      <c r="G65" s="13" t="inlineStr">
        <is>
          <t>P1</t>
        </is>
      </c>
      <c r="H65" s="14" t="inlineStr">
        <is>
          <t>حالات حدّية</t>
        </is>
      </c>
      <c r="I65" s="13" t="inlineStr">
        <is>
          <t>لم يُختبر</t>
        </is>
      </c>
      <c r="J65" s="14" t="inlineStr"/>
      <c r="K65" s="13" t="inlineStr"/>
      <c r="L65" s="14" t="inlineStr"/>
    </row>
    <row r="66">
      <c r="A66" s="13" t="inlineStr">
        <is>
          <t>TC-C-065</t>
        </is>
      </c>
      <c r="B66" s="14" t="inlineStr">
        <is>
          <t>بلاغات الخدمة</t>
        </is>
      </c>
      <c r="C66" s="15" t="inlineStr">
        <is>
          <t>قرار التغطية: عقد صيانة ساري</t>
        </is>
      </c>
      <c r="D66" s="14" t="inlineStr">
        <is>
          <t>جهاز ضمانه منتهٍ وموقع عليه AMC نشط</t>
        </is>
      </c>
      <c r="E66" s="14" t="inlineStr">
        <is>
          <t>1. أنشئ البلاغ</t>
        </is>
      </c>
      <c r="F66" s="14" t="inlineStr">
        <is>
          <t>coverage=amc مع تاريخ نهاية العقد</t>
        </is>
      </c>
      <c r="G66" s="13" t="inlineStr">
        <is>
          <t>P1</t>
        </is>
      </c>
      <c r="H66" s="14" t="inlineStr">
        <is>
          <t>وظيفي</t>
        </is>
      </c>
      <c r="I66" s="13" t="inlineStr">
        <is>
          <t>لم يُختبر</t>
        </is>
      </c>
      <c r="J66" s="14" t="inlineStr"/>
      <c r="K66" s="13" t="inlineStr"/>
      <c r="L66" s="14" t="inlineStr"/>
    </row>
    <row r="67">
      <c r="A67" s="13" t="inlineStr">
        <is>
          <t>TC-C-066</t>
        </is>
      </c>
      <c r="B67" s="14" t="inlineStr">
        <is>
          <t>بلاغات الخدمة</t>
        </is>
      </c>
      <c r="C67" s="15" t="inlineStr">
        <is>
          <t>المحادثة: رد للعميل وملاحظة داخلية</t>
        </is>
      </c>
      <c r="D67" s="14" t="inlineStr">
        <is>
          <t>بلاغ مفتوح من البوابة</t>
        </is>
      </c>
      <c r="E67" s="14" t="inlineStr">
        <is>
          <t>1. أرسل ردًا (respond)
2. أضف ملاحظة داخلية (internal=true)
3. افتح البلاغ من البوابة</t>
        </is>
      </c>
      <c r="F67" s="14" t="inlineStr">
        <is>
          <t>الرد يظهر للعميل ويُسجل firstResponseAt؛ الملاحظة الداخلية لا تظهر ولا تؤثر على SLA</t>
        </is>
      </c>
      <c r="G67" s="13" t="inlineStr">
        <is>
          <t>P1</t>
        </is>
      </c>
      <c r="H67" s="14" t="inlineStr">
        <is>
          <t>أمان</t>
        </is>
      </c>
      <c r="I67" s="13" t="inlineStr">
        <is>
          <t>لم يُختبر</t>
        </is>
      </c>
      <c r="J67" s="14" t="inlineStr"/>
      <c r="K67" s="13" t="inlineStr"/>
      <c r="L67" s="14" t="inlineStr"/>
    </row>
    <row r="68">
      <c r="A68" s="13" t="inlineStr">
        <is>
          <t>TC-C-067</t>
        </is>
      </c>
      <c r="B68" s="14" t="inlineStr">
        <is>
          <t>بلاغات الخدمة</t>
        </is>
      </c>
      <c r="C68" s="15" t="inlineStr">
        <is>
          <t>أمر عمل بنقرة من البلاغ</t>
        </is>
      </c>
      <c r="D68" s="14" t="inlineStr">
        <is>
          <t>بلاغ مفتوح على جهاز</t>
        </is>
      </c>
      <c r="E68" s="14" t="inlineStr">
        <is>
          <t>1. اضغط «إنشاء أمر عمل» (tickets/:id/work-order)</t>
        </is>
      </c>
      <c r="F68" s="14" t="inlineStr">
        <is>
          <t>يُنشأ أمر عمل corrective/warranty مرتبط بالبلاغ والجهاز والموقع مع نفس التغطية وقائمة الفحص الافتراضية، ويتحول البلاغ إلى in_progress</t>
        </is>
      </c>
      <c r="G68" s="13" t="inlineStr">
        <is>
          <t>P1</t>
        </is>
      </c>
      <c r="H68" s="14" t="inlineStr">
        <is>
          <t>تكامل</t>
        </is>
      </c>
      <c r="I68" s="13" t="inlineStr">
        <is>
          <t>لم يُختبر</t>
        </is>
      </c>
      <c r="J68" s="14" t="inlineStr"/>
      <c r="K68" s="13" t="inlineStr"/>
      <c r="L68" s="14" t="inlineStr"/>
    </row>
    <row r="69">
      <c r="A69" s="13" t="inlineStr">
        <is>
          <t>TC-C-068</t>
        </is>
      </c>
      <c r="B69" s="14" t="inlineStr">
        <is>
          <t>بلاغات الخدمة</t>
        </is>
      </c>
      <c r="C69" s="15" t="inlineStr">
        <is>
          <t>نطاق السجل للبلاغات</t>
        </is>
      </c>
      <c r="D69" s="14" t="inlineStr">
        <is>
          <t>موظف دعم بنطاق team</t>
        </is>
      </c>
      <c r="E69" s="14" t="inlineStr">
        <is>
          <t>1. افتح /service/tickets
2. افتح بلاغ فريق آخر مباشرة</t>
        </is>
      </c>
      <c r="F69" s="14" t="inlineStr">
        <is>
          <t>يرى بلاغات فريقه فقط؛ الوصول المباشر مرفوض</t>
        </is>
      </c>
      <c r="G69" s="13" t="inlineStr">
        <is>
          <t>P1</t>
        </is>
      </c>
      <c r="H69" s="14" t="inlineStr">
        <is>
          <t>صلاحيات</t>
        </is>
      </c>
      <c r="I69" s="13" t="inlineStr">
        <is>
          <t>لم يُختبر</t>
        </is>
      </c>
      <c r="J69" s="14" t="inlineStr"/>
      <c r="K69" s="13" t="inlineStr"/>
      <c r="L69" s="14" t="inlineStr"/>
    </row>
    <row r="70">
      <c r="A70" s="13" t="inlineStr">
        <is>
          <t>TC-C-069</t>
        </is>
      </c>
      <c r="B70" s="14" t="inlineStr">
        <is>
          <t>بلاغات الخدمة</t>
        </is>
      </c>
      <c r="C70" s="15" t="inlineStr">
        <is>
          <t>قرار التغطية: لا جهاز محدد</t>
        </is>
      </c>
      <c r="D70" s="14" t="inlineStr">
        <is>
          <t>بلاغ بلا جهاز وبلا عقد</t>
        </is>
      </c>
      <c r="E70" s="14" t="inlineStr">
        <is>
          <t>1. أنشئ البلاغ</t>
        </is>
      </c>
      <c r="F70" s="14" t="inlineStr">
        <is>
          <t>coverage=chargeable بسبب «لم يُحدَّد جهاز مسجل»</t>
        </is>
      </c>
      <c r="G70" s="13" t="inlineStr">
        <is>
          <t>P2</t>
        </is>
      </c>
      <c r="H70" s="14" t="inlineStr">
        <is>
          <t>وظيفي</t>
        </is>
      </c>
      <c r="I70" s="13" t="inlineStr">
        <is>
          <t>لم يُختبر</t>
        </is>
      </c>
      <c r="J70" s="14" t="inlineStr"/>
      <c r="K70" s="13" t="inlineStr"/>
      <c r="L70" s="14" t="inlineStr"/>
    </row>
    <row r="71">
      <c r="A71" s="13" t="inlineStr">
        <is>
          <t>TC-C-070</t>
        </is>
      </c>
      <c r="B71" s="14" t="inlineStr">
        <is>
          <t>بلاغات الخدمة</t>
        </is>
      </c>
      <c r="C71" s="15" t="inlineStr">
        <is>
          <t>ثبات التغطية بعد انتهاء الضمان لاحقًا</t>
        </is>
      </c>
      <c r="D71" s="14" t="inlineStr">
        <is>
          <t>بلاغ أُنشئ أثناء الضمان</t>
        </is>
      </c>
      <c r="E71" s="14" t="inlineStr">
        <is>
          <t>1. مرّر الوقت بعد نهاية الضمان وافتح البلاغ</t>
        </is>
      </c>
      <c r="F71" s="14" t="inlineStr">
        <is>
          <t>تبقى التغطية المحفوظة وقت الإنشاء كما هي</t>
        </is>
      </c>
      <c r="G71" s="13" t="inlineStr">
        <is>
          <t>P2</t>
        </is>
      </c>
      <c r="H71" s="14" t="inlineStr">
        <is>
          <t>حالات حدّية</t>
        </is>
      </c>
      <c r="I71" s="13" t="inlineStr">
        <is>
          <t>لم يُختبر</t>
        </is>
      </c>
      <c r="J71" s="14" t="inlineStr"/>
      <c r="K71" s="13" t="inlineStr"/>
      <c r="L71" s="14" t="inlineStr"/>
    </row>
    <row r="72">
      <c r="A72" s="13" t="inlineStr">
        <is>
          <t>TC-C-071</t>
        </is>
      </c>
      <c r="B72" s="14" t="inlineStr">
        <is>
          <t>بلاغات الخدمة</t>
        </is>
      </c>
      <c r="C72" s="15" t="inlineStr">
        <is>
          <t>دورة حالات البلاغ</t>
        </is>
      </c>
      <c r="D72" s="14" t="inlineStr">
        <is>
          <t>بلاغ open</t>
        </is>
      </c>
      <c r="E72" s="14" t="inlineStr">
        <is>
          <t>1. حوّله in_progress ثم resolved ثم closed
2. حاول تعديله بعد الإغلاق</t>
        </is>
      </c>
      <c r="F72" s="14" t="inlineStr">
        <is>
          <t>الانتقالات تُحفظ مع التدقيق؛ البلاغ المغلق للقراءة فقط أو يتطلب إعادة فتح</t>
        </is>
      </c>
      <c r="G72" s="13" t="inlineStr">
        <is>
          <t>P2</t>
        </is>
      </c>
      <c r="H72" s="14" t="inlineStr">
        <is>
          <t>وظيفي</t>
        </is>
      </c>
      <c r="I72" s="13" t="inlineStr">
        <is>
          <t>لم يُختبر</t>
        </is>
      </c>
      <c r="J72" s="14" t="inlineStr"/>
      <c r="K72" s="13" t="inlineStr"/>
      <c r="L72" s="14" t="inlineStr"/>
    </row>
    <row r="73">
      <c r="A73" s="13" t="inlineStr">
        <is>
          <t>TC-C-072</t>
        </is>
      </c>
      <c r="B73" s="14" t="inlineStr">
        <is>
          <t>بلاغات الخدمة</t>
        </is>
      </c>
      <c r="C73" s="15" t="inlineStr">
        <is>
          <t>اقتراح مقالات المعرفة عند كتابة البلاغ</t>
        </is>
      </c>
      <c r="D73" s="14" t="inlineStr">
        <is>
          <t>مقالات منشورة</t>
        </is>
      </c>
      <c r="E73" s="14" t="inlineStr">
        <is>
          <t>1. اكتب وصفًا «الشاشة لا تعمل»</t>
        </is>
      </c>
      <c r="F73" s="14" t="inlineStr">
        <is>
          <t>تظهر مقالات مقترحة ذات صلة</t>
        </is>
      </c>
      <c r="G73" s="13" t="inlineStr">
        <is>
          <t>P3</t>
        </is>
      </c>
      <c r="H73" s="14" t="inlineStr">
        <is>
          <t>واجهة وعرض</t>
        </is>
      </c>
      <c r="I73" s="13" t="inlineStr">
        <is>
          <t>لم يُختبر</t>
        </is>
      </c>
      <c r="J73" s="14" t="inlineStr"/>
      <c r="K73" s="13" t="inlineStr"/>
      <c r="L73" s="14" t="inlineStr"/>
    </row>
    <row r="74">
      <c r="A74" s="13" t="inlineStr">
        <is>
          <t>TC-C-073</t>
        </is>
      </c>
      <c r="B74" s="14" t="inlineStr">
        <is>
          <t>أوامر العمل ولوحة التوزيع</t>
        </is>
      </c>
      <c r="C74" s="15" t="inlineStr">
        <is>
          <t>دورة حياة أمر العمل الكاملة</t>
        </is>
      </c>
      <c r="D74" s="14" t="inlineStr">
        <is>
          <t>أمر عمل new</t>
        </is>
      </c>
      <c r="E74" s="14" t="inlineStr">
        <is>
          <t>1. جدوِل ← أرسل ← في الطريق ← في الموقع ← مكتمل ← مغلق</t>
        </is>
      </c>
      <c r="F74" s="14" t="inlineStr">
        <is>
          <t>كل انتقال مسموح يُحفظ مع التدقيق والطوابع الزمنية</t>
        </is>
      </c>
      <c r="G74" s="13" t="inlineStr">
        <is>
          <t>P1</t>
        </is>
      </c>
      <c r="H74" s="14" t="inlineStr">
        <is>
          <t>وظيفي</t>
        </is>
      </c>
      <c r="I74" s="13" t="inlineStr">
        <is>
          <t>لم يُختبر</t>
        </is>
      </c>
      <c r="J74" s="14" t="inlineStr"/>
      <c r="K74" s="13" t="inlineStr"/>
      <c r="L74" s="14" t="inlineStr"/>
    </row>
    <row r="75">
      <c r="A75" s="13" t="inlineStr">
        <is>
          <t>TC-C-074</t>
        </is>
      </c>
      <c r="B75" s="14" t="inlineStr">
        <is>
          <t>أوامر العمل ولوحة التوزيع</t>
        </is>
      </c>
      <c r="C75" s="15" t="inlineStr">
        <is>
          <t>رفض انتقالات غير مسموحة</t>
        </is>
      </c>
      <c r="D75" s="14" t="inlineStr">
        <is>
          <t>أوامر بحالات مختلفة</t>
        </is>
      </c>
      <c r="E75" s="14" t="inlineStr">
        <is>
          <t>1. حاول new→on_site
2. حاول closed→scheduled
3. حاول on_site→cancelled
4. حاول awaiting_parts→on_site</t>
        </is>
      </c>
      <c r="F75" s="14" t="inlineStr">
        <is>
          <t>كلها مرفوضة 400 مع from/to؛ المسموح: awaiting_parts→scheduled، completed→on_site (إعادة فتح)</t>
        </is>
      </c>
      <c r="G75" s="13" t="inlineStr">
        <is>
          <t>P1</t>
        </is>
      </c>
      <c r="H75" s="14" t="inlineStr">
        <is>
          <t>تحقق من المدخلات</t>
        </is>
      </c>
      <c r="I75" s="13" t="inlineStr">
        <is>
          <t>لم يُختبر</t>
        </is>
      </c>
      <c r="J75" s="14" t="inlineStr"/>
      <c r="K75" s="13" t="inlineStr"/>
      <c r="L75" s="14" t="inlineStr"/>
    </row>
    <row r="76">
      <c r="A76" s="13" t="inlineStr">
        <is>
          <t>TC-C-075</t>
        </is>
      </c>
      <c r="B76" s="14" t="inlineStr">
        <is>
          <t>أوامر العمل ولوحة التوزيع</t>
        </is>
      </c>
      <c r="C76" s="15" t="inlineStr">
        <is>
          <t>الجدولة بالسحب على لوحة التوزيع</t>
        </is>
      </c>
      <c r="D76" s="14" t="inlineStr">
        <is>
          <t>/field/dispatch-board؛ أوامر غير مجدولة</t>
        </is>
      </c>
      <c r="E76" s="14" t="inlineStr">
        <is>
          <t>1. اسحب أمرًا إلى عمود فني ووقت
2. اسحبه لوقت آخر</t>
        </is>
      </c>
      <c r="F76" s="14" t="inlineStr">
        <is>
          <t>يُحفظ technicianId والوقت؛ إعادة الجدولة scheduled→scheduled مسموحة وتظهر التحذيرات فورًا</t>
        </is>
      </c>
      <c r="G76" s="13" t="inlineStr">
        <is>
          <t>P1</t>
        </is>
      </c>
      <c r="H76" s="14" t="inlineStr">
        <is>
          <t>واجهة وعرض</t>
        </is>
      </c>
      <c r="I76" s="13" t="inlineStr">
        <is>
          <t>لم يُختبر</t>
        </is>
      </c>
      <c r="J76" s="14" t="inlineStr"/>
      <c r="K76" s="13" t="inlineStr"/>
      <c r="L76" s="14" t="inlineStr"/>
    </row>
    <row r="77">
      <c r="A77" s="13" t="inlineStr">
        <is>
          <t>TC-C-076</t>
        </is>
      </c>
      <c r="B77" s="14" t="inlineStr">
        <is>
          <t>أوامر العمل ولوحة التوزيع</t>
        </is>
      </c>
      <c r="C77" s="15" t="inlineStr">
        <is>
          <t>تحذير يوم الجمعة/السبت والعطلة الرسمية</t>
        </is>
      </c>
      <c r="D77" s="14" t="inlineStr">
        <is>
          <t>تقويم افتراضي</t>
        </is>
      </c>
      <c r="E77" s="14" t="inlineStr">
        <is>
          <t>1. جدوِل أمرًا يوم الجمعة
2. جدوِل آخر يوم 2026-09-23</t>
        </is>
      </c>
      <c r="F77" s="14" t="inlineStr">
        <is>
          <t>تحذير ناعم «يوم غير عمل» دون منع الحفظ</t>
        </is>
      </c>
      <c r="G77" s="13" t="inlineStr">
        <is>
          <t>P1</t>
        </is>
      </c>
      <c r="H77" s="14" t="inlineStr">
        <is>
          <t>حالات حدّية</t>
        </is>
      </c>
      <c r="I77" s="13" t="inlineStr">
        <is>
          <t>لم يُختبر</t>
        </is>
      </c>
      <c r="J77" s="14" t="inlineStr"/>
      <c r="K77" s="13" t="inlineStr"/>
      <c r="L77" s="14" t="inlineStr"/>
    </row>
    <row r="78">
      <c r="A78" s="13" t="inlineStr">
        <is>
          <t>TC-C-077</t>
        </is>
      </c>
      <c r="B78" s="14" t="inlineStr">
        <is>
          <t>أوامر العمل ولوحة التوزيع</t>
        </is>
      </c>
      <c r="C78" s="15" t="inlineStr">
        <is>
          <t>حظر العمل الخارجي ظهرًا — الحدود</t>
        </is>
      </c>
      <c r="D78" s="14" t="inlineStr">
        <is>
          <t>أمر outdoor=true</t>
        </is>
      </c>
      <c r="E78" s="14" t="inlineStr">
        <is>
          <t>1. جدوِل 2026-06-14 12:00–13:00
2. 2026-06-15 11:00–12:00
3. 2026-06-15 14:59–16:00
4. 2026-09-15 12:30–13:00
5. 2026-09-16 12:30–13:00</t>
        </is>
      </c>
      <c r="F78" s="14" t="inlineStr">
        <is>
          <t>تحذير heat_ban فقط في 15 يونيو 14:59–16:00 و15 سبتمبر 12:30؛ لا تحذير في 14 يونيو أو 16 سبتمبر أو 11:00–12:00 (ينتهي عند 12:00 بالضبط)</t>
        </is>
      </c>
      <c r="G78" s="13" t="inlineStr">
        <is>
          <t>P1</t>
        </is>
      </c>
      <c r="H78" s="14" t="inlineStr">
        <is>
          <t>حالات حدّية</t>
        </is>
      </c>
      <c r="I78" s="13" t="inlineStr">
        <is>
          <t>لم يُختبر</t>
        </is>
      </c>
      <c r="J78" s="14" t="inlineStr"/>
      <c r="K78" s="13" t="inlineStr"/>
      <c r="L78" s="14" t="inlineStr"/>
    </row>
    <row r="79">
      <c r="A79" s="13" t="inlineStr">
        <is>
          <t>TC-C-078</t>
        </is>
      </c>
      <c r="B79" s="14" t="inlineStr">
        <is>
          <t>أوامر العمل ولوحة التوزيع</t>
        </is>
      </c>
      <c r="C79" s="15" t="inlineStr">
        <is>
          <t>رمضان: أكثر من 6 ساعات عمل</t>
        </is>
      </c>
      <c r="D79" s="14" t="inlineStr">
        <is>
          <t>نطاق رمضان مضبوط في التقويم</t>
        </is>
      </c>
      <c r="E79" s="14" t="inlineStr">
        <is>
          <t>1. جدوِل 6 ساعات بالضبط داخل رمضان
2. جدوِل 6.5 ساعات
3. جدوِل 8 ساعات قبل رمضان بيوم</t>
        </is>
      </c>
      <c r="F79" s="14" t="inlineStr">
        <is>
          <t>تحذير ramadan_hours فقط للحالة الثانية (6.5 س)</t>
        </is>
      </c>
      <c r="G79" s="13" t="inlineStr">
        <is>
          <t>P1</t>
        </is>
      </c>
      <c r="H79" s="14" t="inlineStr">
        <is>
          <t>حالات حدّية</t>
        </is>
      </c>
      <c r="I79" s="13" t="inlineStr">
        <is>
          <t>لم يُختبر</t>
        </is>
      </c>
      <c r="J79" s="14" t="inlineStr"/>
      <c r="K79" s="13" t="inlineStr"/>
      <c r="L79" s="14" t="inlineStr"/>
    </row>
    <row r="80">
      <c r="A80" s="13" t="inlineStr">
        <is>
          <t>TC-C-079</t>
        </is>
      </c>
      <c r="B80" s="14" t="inlineStr">
        <is>
          <t>أوامر العمل ولوحة التوزيع</t>
        </is>
      </c>
      <c r="C80" s="15" t="inlineStr">
        <is>
          <t>التوقيت حسب الرياض عند منتصف الليل</t>
        </is>
      </c>
      <c r="D80" s="14" t="inlineStr">
        <is>
          <t>متصفح بمنطقة زمنية UTC</t>
        </is>
      </c>
      <c r="E80" s="14" t="inlineStr">
        <is>
          <t>1. جدوِل أمرًا 2026-10-08 23:30–00:30 بتوقيت الرياض</t>
        </is>
      </c>
      <c r="F80" s="14" t="inlineStr">
        <is>
          <t>التحذيرات والتواريخ تعتمد Asia/Riyadh ويُعد الحجز ممتدًا ليومين، ويظهر في اليوم الصحيح على اللوحة</t>
        </is>
      </c>
      <c r="G80" s="13" t="inlineStr">
        <is>
          <t>P1</t>
        </is>
      </c>
      <c r="H80" s="14" t="inlineStr">
        <is>
          <t>حالات حدّية</t>
        </is>
      </c>
      <c r="I80" s="13" t="inlineStr">
        <is>
          <t>لم يُختبر</t>
        </is>
      </c>
      <c r="J80" s="14" t="inlineStr"/>
      <c r="K80" s="13" t="inlineStr"/>
      <c r="L80" s="14" t="inlineStr"/>
    </row>
    <row r="81">
      <c r="A81" s="13" t="inlineStr">
        <is>
          <t>TC-C-080</t>
        </is>
      </c>
      <c r="B81" s="14" t="inlineStr">
        <is>
          <t>أوامر العمل ولوحة التوزيع</t>
        </is>
      </c>
      <c r="C81" s="15" t="inlineStr">
        <is>
          <t>لا حظر حرارة لعمل داخلي</t>
        </is>
      </c>
      <c r="D81" s="14" t="inlineStr">
        <is>
          <t>أمر outdoor=false في 2026-07-01 12:00–14:00</t>
        </is>
      </c>
      <c r="E81" s="14" t="inlineStr">
        <is>
          <t>1. جدوِل</t>
        </is>
      </c>
      <c r="F81" s="14" t="inlineStr">
        <is>
          <t>لا يظهر تحذير heat_ban</t>
        </is>
      </c>
      <c r="G81" s="13" t="inlineStr">
        <is>
          <t>P2</t>
        </is>
      </c>
      <c r="H81" s="14" t="inlineStr">
        <is>
          <t>حالات حدّية</t>
        </is>
      </c>
      <c r="I81" s="13" t="inlineStr">
        <is>
          <t>لم يُختبر</t>
        </is>
      </c>
      <c r="J81" s="14" t="inlineStr"/>
      <c r="K81" s="13" t="inlineStr"/>
      <c r="L81" s="14" t="inlineStr"/>
    </row>
    <row r="82">
      <c r="A82" s="13" t="inlineStr">
        <is>
          <t>TC-C-081</t>
        </is>
      </c>
      <c r="B82" s="14" t="inlineStr">
        <is>
          <t>أوامر العمل ولوحة التوزيع</t>
        </is>
      </c>
      <c r="C82" s="15" t="inlineStr">
        <is>
          <t>تحذير أوقات الصلاة</t>
        </is>
      </c>
      <c r="D82" s="14" t="inlineStr">
        <is>
          <t>موقع بإحداثيات الرياض</t>
        </is>
      </c>
      <c r="E82" s="14" t="inlineStr">
        <is>
          <t>1. جدوِل أمرًا يغطي وقت الظهر
2. جدوِل بداية بعد دخول العصر بـ 10 دقائق</t>
        </is>
      </c>
      <c r="F82" s="14" t="inlineStr">
        <is>
          <t>تحذير بالصلوات الواقعة داخل الحجز وتحذير البدء خلال 20 دقيقة من دخول الصلاة؛ أوقات حسب أم القرى وموقع العمل (الافتراضي جدة)</t>
        </is>
      </c>
      <c r="G82" s="13" t="inlineStr">
        <is>
          <t>P2</t>
        </is>
      </c>
      <c r="H82" s="14" t="inlineStr">
        <is>
          <t>وظيفي</t>
        </is>
      </c>
      <c r="I82" s="13" t="inlineStr">
        <is>
          <t>لم يُختبر</t>
        </is>
      </c>
      <c r="J82" s="14" t="inlineStr"/>
      <c r="K82" s="13" t="inlineStr"/>
      <c r="L82" s="14" t="inlineStr"/>
    </row>
    <row r="83">
      <c r="A83" s="13" t="inlineStr">
        <is>
          <t>TC-C-082</t>
        </is>
      </c>
      <c r="B83" s="14" t="inlineStr">
        <is>
          <t>أوامر العمل ولوحة التوزيع</t>
        </is>
      </c>
      <c r="C83" s="15" t="inlineStr">
        <is>
          <t>رفض نهاية قبل البداية وفني غير معروف</t>
        </is>
      </c>
      <c r="D83" s="14" t="inlineStr">
        <is>
          <t>—</t>
        </is>
      </c>
      <c r="E83" s="14" t="inlineStr">
        <is>
          <t>1. جدوِل بنهاية قبل البداية
2. جدوِل بـ technicianId غير موجود</t>
        </is>
      </c>
      <c r="F83" s="14" t="inlineStr">
        <is>
          <t>رفض التحقق في الحالتين («unknown technician / crew member»)</t>
        </is>
      </c>
      <c r="G83" s="13" t="inlineStr">
        <is>
          <t>P2</t>
        </is>
      </c>
      <c r="H83" s="14" t="inlineStr">
        <is>
          <t>تحقق من المدخلات</t>
        </is>
      </c>
      <c r="I83" s="13" t="inlineStr">
        <is>
          <t>لم يُختبر</t>
        </is>
      </c>
      <c r="J83" s="14" t="inlineStr"/>
      <c r="K83" s="13" t="inlineStr"/>
      <c r="L83" s="14" t="inlineStr"/>
    </row>
    <row r="84">
      <c r="A84" s="13" t="inlineStr">
        <is>
          <t>TC-C-083</t>
        </is>
      </c>
      <c r="B84" s="14" t="inlineStr">
        <is>
          <t>أوامر العمل ولوحة التوزيع</t>
        </is>
      </c>
      <c r="C84" s="15" t="inlineStr">
        <is>
          <t>الإرسال للفني يرسل إشعارًا</t>
        </is>
      </c>
      <c r="D84" s="14" t="inlineStr">
        <is>
          <t>أمر scheduled</t>
        </is>
      </c>
      <c r="E84" s="14" t="inlineStr">
        <is>
          <t>1. اضغط dispatch</t>
        </is>
      </c>
      <c r="F84" s="14" t="inlineStr">
        <is>
          <t>الحالة dispatched وإشعار داخل التطبيق للفني والطاقم</t>
        </is>
      </c>
      <c r="G84" s="13" t="inlineStr">
        <is>
          <t>P2</t>
        </is>
      </c>
      <c r="H84" s="14" t="inlineStr">
        <is>
          <t>وظيفي</t>
        </is>
      </c>
      <c r="I84" s="13" t="inlineStr">
        <is>
          <t>لم يُختبر</t>
        </is>
      </c>
      <c r="J84" s="14" t="inlineStr"/>
      <c r="K84" s="13" t="inlineStr"/>
      <c r="L84" s="14" t="inlineStr"/>
    </row>
    <row r="85">
      <c r="A85" s="13" t="inlineStr">
        <is>
          <t>TC-C-084</t>
        </is>
      </c>
      <c r="B85" s="14" t="inlineStr">
        <is>
          <t>أوامر العمل ولوحة التوزيع</t>
        </is>
      </c>
      <c r="C85" s="15" t="inlineStr">
        <is>
          <t>إلغاء وإغلاق وإعادة فتح</t>
        </is>
      </c>
      <c r="D85" s="14" t="inlineStr">
        <is>
          <t>أوامر بحالات مختلفة</t>
        </is>
      </c>
      <c r="E85" s="14" t="inlineStr">
        <is>
          <t>1. ألغِ أمرًا scheduled
2. أغلق أمرًا completed
3. أعد فتح أمر completed</t>
        </is>
      </c>
      <c r="F85" s="14" t="inlineStr">
        <is>
          <t>الإلغاء والإغلاق نهائيان؛ إعادة الفتح تعيده on_site</t>
        </is>
      </c>
      <c r="G85" s="13" t="inlineStr">
        <is>
          <t>P2</t>
        </is>
      </c>
      <c r="H85" s="14" t="inlineStr">
        <is>
          <t>وظيفي</t>
        </is>
      </c>
      <c r="I85" s="13" t="inlineStr">
        <is>
          <t>لم يُختبر</t>
        </is>
      </c>
      <c r="J85" s="14" t="inlineStr"/>
      <c r="K85" s="13" t="inlineStr"/>
      <c r="L85" s="14" t="inlineStr"/>
    </row>
    <row r="86">
      <c r="A86" s="13" t="inlineStr">
        <is>
          <t>TC-C-085</t>
        </is>
      </c>
      <c r="B86" s="14" t="inlineStr">
        <is>
          <t>أوامر العمل ولوحة التوزيع</t>
        </is>
      </c>
      <c r="C86" s="15" t="inlineStr">
        <is>
          <t>تعارض جدول الفني</t>
        </is>
      </c>
      <c r="D86" s="14" t="inlineStr">
        <is>
          <t>فني لديه أمر 09:00–11:00</t>
        </is>
      </c>
      <c r="E86" s="14" t="inlineStr">
        <is>
          <t>1. جدوِل له أمرًا آخر 10:00–12:00</t>
        </is>
      </c>
      <c r="F86" s="14" t="inlineStr">
        <is>
          <t>⚠ للتأكيد (السلوك المتوقع افتراض وليس قاعدة في الكود): تحذير تعارض/تداخل مرئي على اللوحة</t>
        </is>
      </c>
      <c r="G86" s="13" t="inlineStr">
        <is>
          <t>P2</t>
        </is>
      </c>
      <c r="H86" s="14" t="inlineStr">
        <is>
          <t>حالات حدّية</t>
        </is>
      </c>
      <c r="I86" s="13" t="inlineStr">
        <is>
          <t>لم يُختبر</t>
        </is>
      </c>
      <c r="J86" s="14" t="inlineStr"/>
      <c r="K86" s="13" t="inlineStr"/>
      <c r="L86" s="14" t="inlineStr"/>
    </row>
    <row r="87">
      <c r="A87" s="13" t="inlineStr">
        <is>
          <t>TC-C-086</t>
        </is>
      </c>
      <c r="B87" s="14" t="inlineStr">
        <is>
          <t>أوامر العمل ولوحة التوزيع</t>
        </is>
      </c>
      <c r="C87" s="15" t="inlineStr">
        <is>
          <t>سجل التدقيق لكل تغيير في أمر العمل</t>
        </is>
      </c>
      <c r="D87" s="14" t="inlineStr">
        <is>
          <t>أمر مرّ بعدة حالات</t>
        </is>
      </c>
      <c r="E87" s="14" t="inlineStr">
        <is>
          <t>1. افتح سجل التدقيق</t>
        </is>
      </c>
      <c r="F87" s="14" t="inlineStr">
        <is>
          <t>كل انتقال/جدولة/صورة/توقيع له سطر تدقيق بالمستخدم والوقت، والسجل غير قابل للتعديل</t>
        </is>
      </c>
      <c r="G87" s="13" t="inlineStr">
        <is>
          <t>P2</t>
        </is>
      </c>
      <c r="H87" s="14" t="inlineStr">
        <is>
          <t>أمان</t>
        </is>
      </c>
      <c r="I87" s="13" t="inlineStr">
        <is>
          <t>لم يُختبر</t>
        </is>
      </c>
      <c r="J87" s="14" t="inlineStr"/>
      <c r="K87" s="13" t="inlineStr"/>
      <c r="L87" s="14" t="inlineStr"/>
    </row>
    <row r="88">
      <c r="A88" s="13" t="inlineStr">
        <is>
          <t>TC-C-087</t>
        </is>
      </c>
      <c r="B88" s="14" t="inlineStr">
        <is>
          <t>أوامر العمل ولوحة التوزيع</t>
        </is>
      </c>
      <c r="C88" s="15" t="inlineStr">
        <is>
          <t>طاقم مساعد بدون تكرار الفني الرئيسي</t>
        </is>
      </c>
      <c r="D88" s="14" t="inlineStr">
        <is>
          <t>—</t>
        </is>
      </c>
      <c r="E88" s="14" t="inlineStr">
        <is>
          <t>1. جدوِل مع crewIds يشمل الفني الرئيسي ومكررات</t>
        </is>
      </c>
      <c r="F88" s="14" t="inlineStr">
        <is>
          <t>يُزال الفني الرئيسي والمكرر من الطاقم؛ الحد 20</t>
        </is>
      </c>
      <c r="G88" s="13" t="inlineStr">
        <is>
          <t>P3</t>
        </is>
      </c>
      <c r="H88" s="14" t="inlineStr">
        <is>
          <t>تحقق من المدخلات</t>
        </is>
      </c>
      <c r="I88" s="13" t="inlineStr">
        <is>
          <t>لم يُختبر</t>
        </is>
      </c>
      <c r="J88" s="14" t="inlineStr"/>
      <c r="K88" s="13" t="inlineStr"/>
      <c r="L88" s="14" t="inlineStr"/>
    </row>
    <row r="89">
      <c r="A89" s="13" t="inlineStr">
        <is>
          <t>TC-C-088</t>
        </is>
      </c>
      <c r="B89" s="14" t="inlineStr">
        <is>
          <t>أوامر العمل ولوحة التوزيع</t>
        </is>
      </c>
      <c r="C89" s="15" t="inlineStr">
        <is>
          <t>فلترة لوحة التوزيع وأدائها</t>
        </is>
      </c>
      <c r="D89" s="14" t="inlineStr">
        <is>
          <t>50 فنيًا و500 أمر في الأسبوع</t>
        </is>
      </c>
      <c r="E89" s="14" t="inlineStr">
        <is>
          <t>1. افتح اللوحة وغيّر الأسبوع والفلاتر</t>
        </is>
      </c>
      <c r="F89" s="14" t="inlineStr">
        <is>
          <t>⚠ للتأكيد (السلوك المتوقع افتراض وليس قاعدة في الكود): تحميل سريع (&lt; 3 ث) والسحب سلس</t>
        </is>
      </c>
      <c r="G89" s="13" t="inlineStr">
        <is>
          <t>P3</t>
        </is>
      </c>
      <c r="H89" s="14" t="inlineStr">
        <is>
          <t>أداء</t>
        </is>
      </c>
      <c r="I89" s="13" t="inlineStr">
        <is>
          <t>لم يُختبر</t>
        </is>
      </c>
      <c r="J89" s="14" t="inlineStr"/>
      <c r="K89" s="13" t="inlineStr"/>
      <c r="L89" s="14" t="inlineStr"/>
    </row>
    <row r="90">
      <c r="A90" s="13" t="inlineStr">
        <is>
          <t>TC-C-089</t>
        </is>
      </c>
      <c r="B90" s="14" t="inlineStr">
        <is>
          <t>تطبيق الفني /tech</t>
        </is>
      </c>
      <c r="C90" s="15" t="inlineStr">
        <is>
          <t>«يومي» يعرض أوامر الفني فقط</t>
        </is>
      </c>
      <c r="D90" s="14" t="inlineStr">
        <is>
          <t>فنيان لكل منهما أوامر</t>
        </is>
      </c>
      <c r="E90" s="14" t="inlineStr">
        <is>
          <t>1. سجّل كفني A وافتح /tech</t>
        </is>
      </c>
      <c r="F90" s="14" t="inlineStr">
        <is>
          <t>تظهر أوامر A المسندة إليه أو كطاقم لليوم فقط مرتبة بالوقت</t>
        </is>
      </c>
      <c r="G90" s="13" t="inlineStr">
        <is>
          <t>P1</t>
        </is>
      </c>
      <c r="H90" s="14" t="inlineStr">
        <is>
          <t>صلاحيات</t>
        </is>
      </c>
      <c r="I90" s="13" t="inlineStr">
        <is>
          <t>لم يُختبر</t>
        </is>
      </c>
      <c r="J90" s="14" t="inlineStr"/>
      <c r="K90" s="13" t="inlineStr"/>
      <c r="L90" s="14" t="inlineStr"/>
    </row>
    <row r="91">
      <c r="A91" s="13" t="inlineStr">
        <is>
          <t>TC-C-090</t>
        </is>
      </c>
      <c r="B91" s="14" t="inlineStr">
        <is>
          <t>تطبيق الفني /tech</t>
        </is>
      </c>
      <c r="C91" s="15" t="inlineStr">
        <is>
          <t>منع الفني من فتح أمر غير مسند إليه</t>
        </is>
      </c>
      <c r="D91" s="14" t="inlineStr">
        <is>
          <t>فني A؛ أمر لفني B</t>
        </is>
      </c>
      <c r="E91" s="14" t="inlineStr">
        <is>
          <t>1. افتح /tech/[id] لأمر B أو استدعِ check-in عليه</t>
        </is>
      </c>
      <c r="F91" s="14" t="inlineStr">
        <is>
          <t>403/404 ولا يُكشف محتوى الأمر</t>
        </is>
      </c>
      <c r="G91" s="13" t="inlineStr">
        <is>
          <t>P1</t>
        </is>
      </c>
      <c r="H91" s="14" t="inlineStr">
        <is>
          <t>أمان</t>
        </is>
      </c>
      <c r="I91" s="13" t="inlineStr">
        <is>
          <t>لم يُختبر</t>
        </is>
      </c>
      <c r="J91" s="14" t="inlineStr"/>
      <c r="K91" s="13" t="inlineStr"/>
      <c r="L91" s="14" t="inlineStr"/>
    </row>
    <row r="92">
      <c r="A92" s="13" t="inlineStr">
        <is>
          <t>TC-C-091</t>
        </is>
      </c>
      <c r="B92" s="14" t="inlineStr">
        <is>
          <t>تطبيق الفني /tech</t>
        </is>
      </c>
      <c r="C92" s="15" t="inlineStr">
        <is>
          <t>تسجيل الوصول مع إشعار PDPL</t>
        </is>
      </c>
      <c r="D92" s="14" t="inlineStr">
        <is>
          <t>أمر dispatched</t>
        </is>
      </c>
      <c r="E92" s="14" t="inlineStr">
        <is>
          <t>1. اضغط تسجيل الوصول لأول مرة</t>
        </is>
      </c>
      <c r="F92" s="14" t="inlineStr">
        <is>
          <t>يظهر إشعار حماية البيانات الشخصية عن جمع الموقع قبل طلب إذن GPS؛ يُسجَّل الوصول والإحداثيات</t>
        </is>
      </c>
      <c r="G92" s="13" t="inlineStr">
        <is>
          <t>P1</t>
        </is>
      </c>
      <c r="H92" s="14" t="inlineStr">
        <is>
          <t>أمان</t>
        </is>
      </c>
      <c r="I92" s="13" t="inlineStr">
        <is>
          <t>لم يُختبر</t>
        </is>
      </c>
      <c r="J92" s="14" t="inlineStr"/>
      <c r="K92" s="13" t="inlineStr"/>
      <c r="L92" s="14" t="inlineStr"/>
    </row>
    <row r="93">
      <c r="A93" s="13" t="inlineStr">
        <is>
          <t>TC-C-092</t>
        </is>
      </c>
      <c r="B93" s="14" t="inlineStr">
        <is>
          <t>تطبيق الفني /tech</t>
        </is>
      </c>
      <c r="C93" s="15" t="inlineStr">
        <is>
          <t>وصول على بعد أكثر من 300 م يُعلَّم ولا يُمنع</t>
        </is>
      </c>
      <c r="D93" s="14" t="inlineStr">
        <is>
          <t>دبوس الموقع معروف</t>
        </is>
      </c>
      <c r="E93" s="14" t="inlineStr">
        <is>
          <t>1. سجّل الوصول من مسافة 299 م
2. ومن 301 م</t>
        </is>
      </c>
      <c r="F93" s="14" t="inlineStr">
        <is>
          <t>الحالتان مسجلتان؛ الثانية تحمل علامة «خارج النطاق» مع المسافة وتظهر للمشرف</t>
        </is>
      </c>
      <c r="G93" s="13" t="inlineStr">
        <is>
          <t>P1</t>
        </is>
      </c>
      <c r="H93" s="14" t="inlineStr">
        <is>
          <t>حالات حدّية</t>
        </is>
      </c>
      <c r="I93" s="13" t="inlineStr">
        <is>
          <t>لم يُختبر</t>
        </is>
      </c>
      <c r="J93" s="14" t="inlineStr"/>
      <c r="K93" s="13" t="inlineStr"/>
      <c r="L93" s="14" t="inlineStr"/>
    </row>
    <row r="94">
      <c r="A94" s="13" t="inlineStr">
        <is>
          <t>TC-C-093</t>
        </is>
      </c>
      <c r="B94" s="14" t="inlineStr">
        <is>
          <t>تطبيق الفني /tech</t>
        </is>
      </c>
      <c r="C94" s="15" t="inlineStr">
        <is>
          <t>بوابة الإكمال تعرض كل الناقص</t>
        </is>
      </c>
      <c r="D94" s="14" t="inlineStr">
        <is>
          <t>أمر installation بلا وصول/صور/أجهزة/توقيع</t>
        </is>
      </c>
      <c r="E94" s="14" t="inlineStr">
        <is>
          <t>1. اضغط إكمال</t>
        </is>
      </c>
      <c r="F94" s="14" t="inlineStr">
        <is>
          <t>رفض مع قائمة: تسجيل الوصول، العناصر الإلزامية (التثبيت، التوصيل، الترقيم، التنظيف)، صورة واحدة، تسجيل الأجهزة، توقيع العميل</t>
        </is>
      </c>
      <c r="G94" s="13" t="inlineStr">
        <is>
          <t>P1</t>
        </is>
      </c>
      <c r="H94" s="14" t="inlineStr">
        <is>
          <t>وظيفي</t>
        </is>
      </c>
      <c r="I94" s="13" t="inlineStr">
        <is>
          <t>لم يُختبر</t>
        </is>
      </c>
      <c r="J94" s="14" t="inlineStr"/>
      <c r="K94" s="13" t="inlineStr"/>
      <c r="L94" s="14" t="inlineStr"/>
    </row>
    <row r="95">
      <c r="A95" s="13" t="inlineStr">
        <is>
          <t>TC-C-094</t>
        </is>
      </c>
      <c r="B95" s="14" t="inlineStr">
        <is>
          <t>تطبيق الفني /tech</t>
        </is>
      </c>
      <c r="C95" s="15" t="inlineStr">
        <is>
          <t>رفع الصور: حدود الحجم والنوع والعدد</t>
        </is>
      </c>
      <c r="D95" s="14" t="inlineStr">
        <is>
          <t>أمر on_site</t>
        </is>
      </c>
      <c r="E95" s="14" t="inlineStr">
        <is>
          <t>1. ارفع صورة 9 MB
2. ارفع PDF
3. ارفع الصورة رقم 51</t>
        </is>
      </c>
      <c r="F95" s="14" t="inlineStr">
        <is>
          <t>رفض: «larger than 8 MB»، «not an image»، «at most 50 photos»</t>
        </is>
      </c>
      <c r="G95" s="13" t="inlineStr">
        <is>
          <t>P1</t>
        </is>
      </c>
      <c r="H95" s="14" t="inlineStr">
        <is>
          <t>تحقق من المدخلات</t>
        </is>
      </c>
      <c r="I95" s="13" t="inlineStr">
        <is>
          <t>لم يُختبر</t>
        </is>
      </c>
      <c r="J95" s="14" t="inlineStr"/>
      <c r="K95" s="13" t="inlineStr"/>
      <c r="L95" s="14" t="inlineStr"/>
    </row>
    <row r="96">
      <c r="A96" s="13" t="inlineStr">
        <is>
          <t>TC-C-095</t>
        </is>
      </c>
      <c r="B96" s="14" t="inlineStr">
        <is>
          <t>تطبيق الفني /tech</t>
        </is>
      </c>
      <c r="C96" s="15" t="inlineStr">
        <is>
          <t>صور بلا شبكة تُحفظ في صندوق الإرسال</t>
        </is>
      </c>
      <c r="D96" s="14" t="inlineStr">
        <is>
          <t>الهاتف دون اتصال</t>
        </is>
      </c>
      <c r="E96" s="14" t="inlineStr">
        <is>
          <t>1. التقط 3 صور
2. أعد الاتصال</t>
        </is>
      </c>
      <c r="F96" s="14" t="inlineStr">
        <is>
          <t>تظهر الصور معلّقة في outbox مع عدادها وتُرفع تلقائيًا عند عودة الشبكة دون تكرار</t>
        </is>
      </c>
      <c r="G96" s="13" t="inlineStr">
        <is>
          <t>P1</t>
        </is>
      </c>
      <c r="H96" s="14" t="inlineStr">
        <is>
          <t>حالات حدّية</t>
        </is>
      </c>
      <c r="I96" s="13" t="inlineStr">
        <is>
          <t>لم يُختبر</t>
        </is>
      </c>
      <c r="J96" s="14" t="inlineStr"/>
      <c r="K96" s="13" t="inlineStr"/>
      <c r="L96" s="14" t="inlineStr"/>
    </row>
    <row r="97">
      <c r="A97" s="13" t="inlineStr">
        <is>
          <t>TC-C-096</t>
        </is>
      </c>
      <c r="B97" s="14" t="inlineStr">
        <is>
          <t>تطبيق الفني /tech</t>
        </is>
      </c>
      <c r="C97" s="15" t="inlineStr">
        <is>
          <t>قطع من مخزون السيارة تُصرف عند الإكمال</t>
        </is>
      </c>
      <c r="D97" s="14" t="inlineStr">
        <is>
          <t>مستودع سيارة الفني به 5 وحدات</t>
        </is>
      </c>
      <c r="E97" s="14" t="inlineStr">
        <is>
          <t>1. أضف قطعتين للأمر
2. أكمل الأمر
3. افتح حركات المخزون</t>
        </is>
      </c>
      <c r="F97" s="14" t="inlineStr">
        <is>
          <t>حركة صرف بكمية 2 من مستودع السيارة عبر postMove مرتبطة بالأمر؛ فشل الصرف لا يمنع الإكمال ويُسجل تحذيرًا</t>
        </is>
      </c>
      <c r="G97" s="13" t="inlineStr">
        <is>
          <t>P1</t>
        </is>
      </c>
      <c r="H97" s="14" t="inlineStr">
        <is>
          <t>تكامل</t>
        </is>
      </c>
      <c r="I97" s="13" t="inlineStr">
        <is>
          <t>لم يُختبر</t>
        </is>
      </c>
      <c r="J97" s="14" t="inlineStr"/>
      <c r="K97" s="13" t="inlineStr"/>
      <c r="L97" s="14" t="inlineStr"/>
    </row>
    <row r="98">
      <c r="A98" s="13" t="inlineStr">
        <is>
          <t>TC-C-097</t>
        </is>
      </c>
      <c r="B98" s="14" t="inlineStr">
        <is>
          <t>تطبيق الفني /tech</t>
        </is>
      </c>
      <c r="C98" s="15" t="inlineStr">
        <is>
          <t>تقرير الخدمة PDF وإرساله واتساب (sandbox)</t>
        </is>
      </c>
      <c r="D98" s="14" t="inlineStr">
        <is>
          <t>أمر مكتمل؛ دون مفاتيح واتساب</t>
        </is>
      </c>
      <c r="E98" s="14" t="inlineStr">
        <is>
          <t>1. اضغط «تقرير الخدمة» ثم «إرسال»</t>
        </is>
      </c>
      <c r="F98" s="14" t="inlineStr">
        <is>
          <t>يُنشأ PDF عربي برابط عام /public/reports/:token؛ الإرسال يُسجَّل كـ sandbox دون رسالة حقيقية</t>
        </is>
      </c>
      <c r="G98" s="13" t="inlineStr">
        <is>
          <t>P1</t>
        </is>
      </c>
      <c r="H98" s="14" t="inlineStr">
        <is>
          <t>تكامل</t>
        </is>
      </c>
      <c r="I98" s="13" t="inlineStr">
        <is>
          <t>لم يُختبر</t>
        </is>
      </c>
      <c r="J98" s="14" t="inlineStr"/>
      <c r="K98" s="13" t="inlineStr"/>
      <c r="L98" s="14" t="inlineStr"/>
    </row>
    <row r="99">
      <c r="A99" s="13" t="inlineStr">
        <is>
          <t>TC-C-098</t>
        </is>
      </c>
      <c r="B99" s="14" t="inlineStr">
        <is>
          <t>تطبيق الفني /tech</t>
        </is>
      </c>
      <c r="C99" s="15" t="inlineStr">
        <is>
          <t>رابط التقرير العام لا يكشف التكلفة</t>
        </is>
      </c>
      <c r="D99" s="14" t="inlineStr">
        <is>
          <t>رابط تقرير</t>
        </is>
      </c>
      <c r="E99" s="14" t="inlineStr">
        <is>
          <t>1. افتح الرابط دون تسجيل دخول
2. عدّل الرمز حرفًا واحدًا</t>
        </is>
      </c>
      <c r="F99" s="14" t="inlineStr">
        <is>
          <t>يعرض التقرير دون تكاليف أو ملاحظات داخلية؛ الرمز المعدل 404</t>
        </is>
      </c>
      <c r="G99" s="13" t="inlineStr">
        <is>
          <t>P1</t>
        </is>
      </c>
      <c r="H99" s="14" t="inlineStr">
        <is>
          <t>أمان</t>
        </is>
      </c>
      <c r="I99" s="13" t="inlineStr">
        <is>
          <t>لم يُختبر</t>
        </is>
      </c>
      <c r="J99" s="14" t="inlineStr"/>
      <c r="K99" s="13" t="inlineStr"/>
      <c r="L99" s="14" t="inlineStr"/>
    </row>
    <row r="100">
      <c r="A100" s="13" t="inlineStr">
        <is>
          <t>TC-C-099</t>
        </is>
      </c>
      <c r="B100" s="14" t="inlineStr">
        <is>
          <t>تطبيق الفني /tech</t>
        </is>
      </c>
      <c r="C100" s="15" t="inlineStr">
        <is>
          <t>زر الملاحة يفتح الخرائط بإحداثيات الموقع</t>
        </is>
      </c>
      <c r="D100" s="14" t="inlineStr">
        <is>
          <t>موقع له دبوس</t>
        </is>
      </c>
      <c r="E100" s="14" t="inlineStr">
        <is>
          <t>1. اضغط «ملاحة» ثم «بدء الرحلة»</t>
        </is>
      </c>
      <c r="F100" s="14" t="inlineStr">
        <is>
          <t>يفتح تطبيق الخرائط بالإحداثيات وتصبح الحالة en_route</t>
        </is>
      </c>
      <c r="G100" s="13" t="inlineStr">
        <is>
          <t>P2</t>
        </is>
      </c>
      <c r="H100" s="14" t="inlineStr">
        <is>
          <t>وظيفي</t>
        </is>
      </c>
      <c r="I100" s="13" t="inlineStr">
        <is>
          <t>لم يُختبر</t>
        </is>
      </c>
      <c r="J100" s="14" t="inlineStr"/>
      <c r="K100" s="13" t="inlineStr"/>
      <c r="L100" s="14" t="inlineStr"/>
    </row>
    <row r="101">
      <c r="A101" s="13" t="inlineStr">
        <is>
          <t>TC-C-100</t>
        </is>
      </c>
      <c r="B101" s="14" t="inlineStr">
        <is>
          <t>تطبيق الفني /tech</t>
        </is>
      </c>
      <c r="C101" s="15" t="inlineStr">
        <is>
          <t>وصول مع رفض إذن الموقع</t>
        </is>
      </c>
      <c r="D101" s="14" t="inlineStr">
        <is>
          <t>المتصفح يرفض GPS</t>
        </is>
      </c>
      <c r="E101" s="14" t="inlineStr">
        <is>
          <t>1. اضغط تسجيل الوصول</t>
        </is>
      </c>
      <c r="F101" s="14" t="inlineStr">
        <is>
          <t>يُسجَّل الوصول بلا إحداثيات مع علامة واضحة، دون تعطل</t>
        </is>
      </c>
      <c r="G101" s="13" t="inlineStr">
        <is>
          <t>P2</t>
        </is>
      </c>
      <c r="H101" s="14" t="inlineStr">
        <is>
          <t>حالات حدّية</t>
        </is>
      </c>
      <c r="I101" s="13" t="inlineStr">
        <is>
          <t>لم يُختبر</t>
        </is>
      </c>
      <c r="J101" s="14" t="inlineStr"/>
      <c r="K101" s="13" t="inlineStr"/>
      <c r="L101" s="14" t="inlineStr"/>
    </row>
    <row r="102">
      <c r="A102" s="13" t="inlineStr">
        <is>
          <t>TC-C-101</t>
        </is>
      </c>
      <c r="B102" s="14" t="inlineStr">
        <is>
          <t>تطبيق الفني /tech</t>
        </is>
      </c>
      <c r="C102" s="15" t="inlineStr">
        <is>
          <t>قائمة الفحص مع عناصر إلزامية</t>
        </is>
      </c>
      <c r="D102" s="14" t="inlineStr">
        <is>
          <t>أمر installation on_site</t>
        </is>
      </c>
      <c r="E102" s="14" t="inlineStr">
        <is>
          <t>1. علّم بعض العناصر
2. أرسل مفتاحًا غير موجود عبر API</t>
        </is>
      </c>
      <c r="F102" s="14" t="inlineStr">
        <is>
          <t>تُحفظ العناصر؛ المفتاح غير المعروف مرفوض «unknown checklist item»</t>
        </is>
      </c>
      <c r="G102" s="13" t="inlineStr">
        <is>
          <t>P2</t>
        </is>
      </c>
      <c r="H102" s="14" t="inlineStr">
        <is>
          <t>تحقق من المدخلات</t>
        </is>
      </c>
      <c r="I102" s="13" t="inlineStr">
        <is>
          <t>لم يُختبر</t>
        </is>
      </c>
      <c r="J102" s="14" t="inlineStr"/>
      <c r="K102" s="13" t="inlineStr"/>
      <c r="L102" s="14" t="inlineStr"/>
    </row>
    <row r="103">
      <c r="A103" s="13" t="inlineStr">
        <is>
          <t>TC-C-102</t>
        </is>
      </c>
      <c r="B103" s="14" t="inlineStr">
        <is>
          <t>تطبيق الفني /tech</t>
        </is>
      </c>
      <c r="C103" s="15" t="inlineStr">
        <is>
          <t>توقيع باسم مسافات فقط لا يُقبل</t>
        </is>
      </c>
      <c r="D103" s="14" t="inlineStr">
        <is>
          <t>—</t>
        </is>
      </c>
      <c r="E103" s="14" t="inlineStr">
        <is>
          <t>1. وقّع بالاسم "   "
2. اضغط إكمال</t>
        </is>
      </c>
      <c r="F103" s="14" t="inlineStr">
        <is>
          <t>توقيع العميل ما زال ناقصًا</t>
        </is>
      </c>
      <c r="G103" s="13" t="inlineStr">
        <is>
          <t>P2</t>
        </is>
      </c>
      <c r="H103" s="14" t="inlineStr">
        <is>
          <t>تحقق من المدخلات</t>
        </is>
      </c>
      <c r="I103" s="13" t="inlineStr">
        <is>
          <t>لم يُختبر</t>
        </is>
      </c>
      <c r="J103" s="14" t="inlineStr"/>
      <c r="K103" s="13" t="inlineStr"/>
      <c r="L103" s="14" t="inlineStr"/>
    </row>
    <row r="104">
      <c r="A104" s="13" t="inlineStr">
        <is>
          <t>TC-C-103</t>
        </is>
      </c>
      <c r="B104" s="14" t="inlineStr">
        <is>
          <t>تطبيق الفني /tech</t>
        </is>
      </c>
      <c r="C104" s="15" t="inlineStr">
        <is>
          <t>شبكة متقطعة أثناء الرفع</t>
        </is>
      </c>
      <c r="D104" s="14" t="inlineStr">
        <is>
          <t>شبكة 3G ضعيفة</t>
        </is>
      </c>
      <c r="E104" s="14" t="inlineStr">
        <is>
          <t>1. ارفع 5 صور وافصل الشبكة أثناء الرفع
2. أعد الاتصال</t>
        </is>
      </c>
      <c r="F104" s="14" t="inlineStr">
        <is>
          <t>تُعاد محاولة الصور الفاشلة فقط؛ لا صور مكررة على الأمر</t>
        </is>
      </c>
      <c r="G104" s="13" t="inlineStr">
        <is>
          <t>P2</t>
        </is>
      </c>
      <c r="H104" s="14" t="inlineStr">
        <is>
          <t>حالات حدّية</t>
        </is>
      </c>
      <c r="I104" s="13" t="inlineStr">
        <is>
          <t>لم يُختبر</t>
        </is>
      </c>
      <c r="J104" s="14" t="inlineStr"/>
      <c r="K104" s="13" t="inlineStr"/>
      <c r="L104" s="14" t="inlineStr"/>
    </row>
    <row r="105">
      <c r="A105" s="13" t="inlineStr">
        <is>
          <t>TC-C-104</t>
        </is>
      </c>
      <c r="B105" s="14" t="inlineStr">
        <is>
          <t>تطبيق الفني /tech</t>
        </is>
      </c>
      <c r="C105" s="15" t="inlineStr">
        <is>
          <t>إغلاق التطبيق وإعادة فتحه مع outbox غير فارغ</t>
        </is>
      </c>
      <c r="D105" s="14" t="inlineStr">
        <is>
          <t>عناصر معلقة</t>
        </is>
      </c>
      <c r="E105" s="14" t="inlineStr">
        <is>
          <t>1. أغلق المتصفح
2. أعد الفتح متصلًا</t>
        </is>
      </c>
      <c r="F105" s="14" t="inlineStr">
        <is>
          <t>تبقى العناصر محفوظة وتُرسل</t>
        </is>
      </c>
      <c r="G105" s="13" t="inlineStr">
        <is>
          <t>P2</t>
        </is>
      </c>
      <c r="H105" s="14" t="inlineStr">
        <is>
          <t>حالات حدّية</t>
        </is>
      </c>
      <c r="I105" s="13" t="inlineStr">
        <is>
          <t>لم يُختبر</t>
        </is>
      </c>
      <c r="J105" s="14" t="inlineStr"/>
      <c r="K105" s="13" t="inlineStr"/>
      <c r="L105" s="14" t="inlineStr"/>
    </row>
    <row r="106">
      <c r="A106" s="13" t="inlineStr">
        <is>
          <t>TC-C-105</t>
        </is>
      </c>
      <c r="B106" s="14" t="inlineStr">
        <is>
          <t>تطبيق الفني /tech</t>
        </is>
      </c>
      <c r="C106" s="15" t="inlineStr">
        <is>
          <t>مسح الباركود لتسجيل جهاز</t>
        </is>
      </c>
      <c r="D106" s="14" t="inlineStr">
        <is>
          <t>كاميرا متاحة</t>
        </is>
      </c>
      <c r="E106" s="14" t="inlineStr">
        <is>
          <t>1. اضغط مسح وامسح باركود التسلسلي</t>
        </is>
      </c>
      <c r="F106" s="14" t="inlineStr">
        <is>
          <t>يُملأ حقل التسلسلي؛ مع عدم دعم BarcodeDetector يظهر إدخال يدوي</t>
        </is>
      </c>
      <c r="G106" s="13" t="inlineStr">
        <is>
          <t>P2</t>
        </is>
      </c>
      <c r="H106" s="14" t="inlineStr">
        <is>
          <t>وظيفي</t>
        </is>
      </c>
      <c r="I106" s="13" t="inlineStr">
        <is>
          <t>لم يُختبر</t>
        </is>
      </c>
      <c r="J106" s="14" t="inlineStr"/>
      <c r="K106" s="13" t="inlineStr"/>
      <c r="L106" s="14" t="inlineStr"/>
    </row>
    <row r="107">
      <c r="A107" s="13" t="inlineStr">
        <is>
          <t>TC-C-106</t>
        </is>
      </c>
      <c r="B107" s="14" t="inlineStr">
        <is>
          <t>تطبيق الفني /tech</t>
        </is>
      </c>
      <c r="C107" s="15" t="inlineStr">
        <is>
          <t>توقيع العميل كصورة PNG</t>
        </is>
      </c>
      <c r="D107" s="14" t="inlineStr">
        <is>
          <t>—</t>
        </is>
      </c>
      <c r="E107" s="14" t="inlineStr">
        <is>
          <t>1. ارسم التوقيع وأرسله
2. أرسل عبر API صورة JPEG أو &gt; 1 MB</t>
        </is>
      </c>
      <c r="F107" s="14" t="inlineStr">
        <is>
          <t>PNG يُحفظ؛ غيره مرفوض «must be a PNG data URL» أو «larger than 1 MB»</t>
        </is>
      </c>
      <c r="G107" s="13" t="inlineStr">
        <is>
          <t>P2</t>
        </is>
      </c>
      <c r="H107" s="14" t="inlineStr">
        <is>
          <t>تحقق من المدخلات</t>
        </is>
      </c>
      <c r="I107" s="13" t="inlineStr">
        <is>
          <t>لم يُختبر</t>
        </is>
      </c>
      <c r="J107" s="14" t="inlineStr"/>
      <c r="K107" s="13" t="inlineStr"/>
      <c r="L107" s="14" t="inlineStr"/>
    </row>
    <row r="108">
      <c r="A108" s="13" t="inlineStr">
        <is>
          <t>TC-C-107</t>
        </is>
      </c>
      <c r="B108" s="14" t="inlineStr">
        <is>
          <t>تطبيق الفني /tech</t>
        </is>
      </c>
      <c r="C108" s="15" t="inlineStr">
        <is>
          <t>تعديل أمر مكتمل من التطبيق مرفوض</t>
        </is>
      </c>
      <c r="D108" s="14" t="inlineStr">
        <is>
          <t>أمر completed</t>
        </is>
      </c>
      <c r="E108" s="14" t="inlineStr">
        <is>
          <t>1. حاول تحديث قائمة الفحص</t>
        </is>
      </c>
      <c r="F108" s="14" t="inlineStr">
        <is>
          <t>رفض «a completed work order cannot be changed»</t>
        </is>
      </c>
      <c r="G108" s="13" t="inlineStr">
        <is>
          <t>P2</t>
        </is>
      </c>
      <c r="H108" s="14" t="inlineStr">
        <is>
          <t>تحقق من المدخلات</t>
        </is>
      </c>
      <c r="I108" s="13" t="inlineStr">
        <is>
          <t>لم يُختبر</t>
        </is>
      </c>
      <c r="J108" s="14" t="inlineStr"/>
      <c r="K108" s="13" t="inlineStr"/>
      <c r="L108" s="14" t="inlineStr"/>
    </row>
    <row r="109">
      <c r="A109" s="13" t="inlineStr">
        <is>
          <t>TC-C-108</t>
        </is>
      </c>
      <c r="B109" s="14" t="inlineStr">
        <is>
          <t>تطبيق الفني /tech</t>
        </is>
      </c>
      <c r="C109" s="15" t="inlineStr">
        <is>
          <t>العرض على شاشة 375px</t>
        </is>
      </c>
      <c r="D109" s="14" t="inlineStr">
        <is>
          <t>جوال صغير</t>
        </is>
      </c>
      <c r="E109" s="14" t="inlineStr">
        <is>
          <t>1. تصفح يومي والأمر والصور والتوقيع</t>
        </is>
      </c>
      <c r="F109" s="14" t="inlineStr">
        <is>
          <t>لا تمرير أفقي، الأزرار كبيرة كفاية، النص العربي مقروء</t>
        </is>
      </c>
      <c r="G109" s="13" t="inlineStr">
        <is>
          <t>P2</t>
        </is>
      </c>
      <c r="H109" s="14" t="inlineStr">
        <is>
          <t>واجهة وعرض</t>
        </is>
      </c>
      <c r="I109" s="13" t="inlineStr">
        <is>
          <t>لم يُختبر</t>
        </is>
      </c>
      <c r="J109" s="14" t="inlineStr"/>
      <c r="K109" s="13" t="inlineStr"/>
      <c r="L109" s="14" t="inlineStr"/>
    </row>
    <row r="110">
      <c r="A110" s="13" t="inlineStr">
        <is>
          <t>TC-C-109</t>
        </is>
      </c>
      <c r="B110" s="14" t="inlineStr">
        <is>
          <t>تطبيق الفني /tech</t>
        </is>
      </c>
      <c r="C110" s="15" t="inlineStr">
        <is>
          <t>انتظار قطع (awaiting_parts) وإعادة الجدولة</t>
        </is>
      </c>
      <c r="D110" s="14" t="inlineStr">
        <is>
          <t>أمر on_site</t>
        </is>
      </c>
      <c r="E110" s="14" t="inlineStr">
        <is>
          <t>1. اضغط «انتظار قطع» مع الملاحظة
2. من اللوحة أعد جدولته</t>
        </is>
      </c>
      <c r="F110" s="14" t="inlineStr">
        <is>
          <t>الحالة awaiting_parts ثم scheduled مع إغلاق قيود الوقت المفتوحة</t>
        </is>
      </c>
      <c r="G110" s="13" t="inlineStr">
        <is>
          <t>P2</t>
        </is>
      </c>
      <c r="H110" s="14" t="inlineStr">
        <is>
          <t>وظيفي</t>
        </is>
      </c>
      <c r="I110" s="13" t="inlineStr">
        <is>
          <t>لم يُختبر</t>
        </is>
      </c>
      <c r="J110" s="14" t="inlineStr"/>
      <c r="K110" s="13" t="inlineStr"/>
      <c r="L110" s="14" t="inlineStr"/>
    </row>
    <row r="111">
      <c r="A111" s="13" t="inlineStr">
        <is>
          <t>TC-C-110</t>
        </is>
      </c>
      <c r="B111" s="14" t="inlineStr">
        <is>
          <t>تطبيق الفني /tech</t>
        </is>
      </c>
      <c r="C111" s="15" t="inlineStr">
        <is>
          <t>تثبيت التطبيق كـ PWA على الجوال</t>
        </is>
      </c>
      <c r="D111" s="14" t="inlineStr">
        <is>
          <t>Android Chrome وiOS Safari</t>
        </is>
      </c>
      <c r="E111" s="14" t="inlineStr">
        <is>
          <t>1. افتح /tech واختر «إضافة للشاشة الرئيسية»
2. افتح من الأيقونة</t>
        </is>
      </c>
      <c r="F111" s="14" t="inlineStr">
        <is>
          <t>يفتح بملء الشاشة باتجاه RTL والأيقونة والاسم صحيحان</t>
        </is>
      </c>
      <c r="G111" s="13" t="inlineStr">
        <is>
          <t>P3</t>
        </is>
      </c>
      <c r="H111" s="14" t="inlineStr">
        <is>
          <t>واجهة وعرض</t>
        </is>
      </c>
      <c r="I111" s="13" t="inlineStr">
        <is>
          <t>لم يُختبر</t>
        </is>
      </c>
      <c r="J111" s="14" t="inlineStr"/>
      <c r="K111" s="13" t="inlineStr"/>
      <c r="L111" s="14" t="inlineStr"/>
    </row>
    <row r="112">
      <c r="A112" s="13" t="inlineStr">
        <is>
          <t>TC-C-111</t>
        </is>
      </c>
      <c r="B112" s="14" t="inlineStr">
        <is>
          <t>عقود الصيانة واتفاقيات SLA</t>
        </is>
      </c>
      <c r="C112" s="15" t="inlineStr">
        <is>
          <t>إنشاء عقد صيانة بفئة قياسية وتفعيله</t>
        </is>
      </c>
      <c r="D112" s="14" t="inlineStr">
        <is>
          <t>عميل وموقع</t>
        </is>
      </c>
      <c r="E112" s="14" t="inlineStr">
        <is>
          <t>1. أنشئ عقدًا standard لمدة سنة
2. فعّله</t>
        </is>
      </c>
      <c r="F112" s="14" t="inlineStr">
        <is>
          <t>SLA الافتراضي: استجابة 8 س وحل 48 س بساعات العمل و4 زيارات وقائية موزعة، كل زيارة على يوم عمل</t>
        </is>
      </c>
      <c r="G112" s="13" t="inlineStr">
        <is>
          <t>P1</t>
        </is>
      </c>
      <c r="H112" s="14" t="inlineStr">
        <is>
          <t>وظيفي</t>
        </is>
      </c>
      <c r="I112" s="13" t="inlineStr">
        <is>
          <t>لم يُختبر</t>
        </is>
      </c>
      <c r="J112" s="14" t="inlineStr"/>
      <c r="K112" s="13" t="inlineStr"/>
      <c r="L112" s="14" t="inlineStr"/>
    </row>
    <row r="113">
      <c r="A113" s="13" t="inlineStr">
        <is>
          <t>TC-C-112</t>
        </is>
      </c>
      <c r="B113" s="14" t="inlineStr">
        <is>
          <t>عقود الصيانة واتفاقيات SLA</t>
        </is>
      </c>
      <c r="C113" s="15" t="inlineStr">
        <is>
          <t>جدول الفوترة ربع سنوي مع الباقي على الفترة الأولى</t>
        </is>
      </c>
      <c r="D113" s="14" t="inlineStr">
        <is>
          <t>سعر 10000.01 ريال (1000001 هللة) ربع سنوي من 2026-01-01 إلى 2026-12-31</t>
        </is>
      </c>
      <c r="E113" s="14" t="inlineStr">
        <is>
          <t>1. فعّل واعرض جدول الفوترة</t>
        </is>
      </c>
      <c r="F113" s="14" t="inlineStr">
        <is>
          <t>4 فترات تنتهي آخرها 2026-12-31؛ الأولى 250001 هللة والباقي 250000؛ المجموع يطابق السعر تمامًا</t>
        </is>
      </c>
      <c r="G113" s="13" t="inlineStr">
        <is>
          <t>P1</t>
        </is>
      </c>
      <c r="H113" s="14" t="inlineStr">
        <is>
          <t>حالات حدّية</t>
        </is>
      </c>
      <c r="I113" s="13" t="inlineStr">
        <is>
          <t>لم يُختبر</t>
        </is>
      </c>
      <c r="J113" s="14" t="inlineStr"/>
      <c r="K113" s="13" t="inlineStr"/>
      <c r="L113" s="14" t="inlineStr"/>
    </row>
    <row r="114">
      <c r="A114" s="13" t="inlineStr">
        <is>
          <t>TC-C-113</t>
        </is>
      </c>
      <c r="B114" s="14" t="inlineStr">
        <is>
          <t>عقود الصيانة واتفاقيات SLA</t>
        </is>
      </c>
      <c r="C114" s="15" t="inlineStr">
        <is>
          <t>إصدار طلبات دفع لكل فترة</t>
        </is>
      </c>
      <c r="D114" s="14" t="inlineStr">
        <is>
          <t>عقد نشط</t>
        </is>
      </c>
      <c r="E114" s="14" t="inlineStr">
        <is>
          <t>1. شغّل مهمة الفوترة (jobs/run)</t>
        </is>
      </c>
      <c r="F114" s="14" t="inlineStr">
        <is>
          <t>يُصدر طلب دفع للفترة المستحقة مرة واحدة فقط مع VAT حسب vatOn؛ إعادة التشغيل لا تكرر</t>
        </is>
      </c>
      <c r="G114" s="13" t="inlineStr">
        <is>
          <t>P1</t>
        </is>
      </c>
      <c r="H114" s="14" t="inlineStr">
        <is>
          <t>تكامل</t>
        </is>
      </c>
      <c r="I114" s="13" t="inlineStr">
        <is>
          <t>لم يُختبر</t>
        </is>
      </c>
      <c r="J114" s="14" t="inlineStr"/>
      <c r="K114" s="13" t="inlineStr"/>
      <c r="L114" s="14" t="inlineStr"/>
    </row>
    <row r="115">
      <c r="A115" s="13" t="inlineStr">
        <is>
          <t>TC-C-114</t>
        </is>
      </c>
      <c r="B115" s="14" t="inlineStr">
        <is>
          <t>عقود الصيانة واتفاقيات SLA</t>
        </is>
      </c>
      <c r="C115" s="15" t="inlineStr">
        <is>
          <t>توليد أوامر الزيارات الوقائية</t>
        </is>
      </c>
      <c r="D115" s="14" t="inlineStr">
        <is>
          <t>زيارة مستحقة</t>
        </is>
      </c>
      <c r="E115" s="14" t="inlineStr">
        <is>
          <t>1. شغّل المهمة</t>
        </is>
      </c>
      <c r="F115" s="14" t="inlineStr">
        <is>
          <t>يُنشأ أمر عمل preventive بقائمة فحص الصيانة الوقائية وتتحول الزيارة إلى generated</t>
        </is>
      </c>
      <c r="G115" s="13" t="inlineStr">
        <is>
          <t>P1</t>
        </is>
      </c>
      <c r="H115" s="14" t="inlineStr">
        <is>
          <t>تكامل</t>
        </is>
      </c>
      <c r="I115" s="13" t="inlineStr">
        <is>
          <t>لم يُختبر</t>
        </is>
      </c>
      <c r="J115" s="14" t="inlineStr"/>
      <c r="K115" s="13" t="inlineStr"/>
      <c r="L115" s="14" t="inlineStr"/>
    </row>
    <row r="116">
      <c r="A116" s="13" t="inlineStr">
        <is>
          <t>TC-C-115</t>
        </is>
      </c>
      <c r="B116" s="14" t="inlineStr">
        <is>
          <t>عقود الصيانة واتفاقيات SLA</t>
        </is>
      </c>
      <c r="C116" s="15" t="inlineStr">
        <is>
          <t>التجديد بزيادة سعر</t>
        </is>
      </c>
      <c r="D116" s="14" t="inlineStr">
        <is>
          <t>عقد نشط 12000 ريال بزيادة 5%</t>
        </is>
      </c>
      <c r="E116" s="14" t="inlineStr">
        <is>
          <t>1. اضغط تجديد
2. فعّل التجديد</t>
        </is>
      </c>
      <c r="F116" s="14" t="inlineStr">
        <is>
          <t>مسودة جديدة بسعر 12600 ريال (مقرّب لريال كامل)؛ عند التفعيل يصبح القديم renewed</t>
        </is>
      </c>
      <c r="G116" s="13" t="inlineStr">
        <is>
          <t>P1</t>
        </is>
      </c>
      <c r="H116" s="14" t="inlineStr">
        <is>
          <t>وظيفي</t>
        </is>
      </c>
      <c r="I116" s="13" t="inlineStr">
        <is>
          <t>لم يُختبر</t>
        </is>
      </c>
      <c r="J116" s="14" t="inlineStr"/>
      <c r="K116" s="13" t="inlineStr"/>
      <c r="L116" s="14" t="inlineStr"/>
    </row>
    <row r="117">
      <c r="A117" s="13" t="inlineStr">
        <is>
          <t>TC-C-116</t>
        </is>
      </c>
      <c r="B117" s="14" t="inlineStr">
        <is>
          <t>عقود الصيانة واتفاقيات SLA</t>
        </is>
      </c>
      <c r="C117" s="15" t="inlineStr">
        <is>
          <t>SLA بساعات العمل يتخطى ما بعد الدوام والعطلة</t>
        </is>
      </c>
      <c r="D117" s="14" t="inlineStr">
        <is>
          <t>فئة basic؛ بلاغ يوم الخميس 16:00 بتوقيت الرياض</t>
        </is>
      </c>
      <c r="E117" s="14" t="inlineStr">
        <is>
          <t>1. أنشئ البلاغ واعرض المواعيد</t>
        </is>
      </c>
      <c r="F117" s="14" t="inlineStr">
        <is>
          <t>ساعة الخميس 16–17 ثم تُستأنف الأحد 08:00؛ موعد الاستجابة (24 س عمل) بعد ثلاثة أيام عمل تقريبًا ويتخطى أي عطلة</t>
        </is>
      </c>
      <c r="G117" s="13" t="inlineStr">
        <is>
          <t>P1</t>
        </is>
      </c>
      <c r="H117" s="14" t="inlineStr">
        <is>
          <t>حالات حدّية</t>
        </is>
      </c>
      <c r="I117" s="13" t="inlineStr">
        <is>
          <t>لم يُختبر</t>
        </is>
      </c>
      <c r="J117" s="14" t="inlineStr"/>
      <c r="K117" s="13" t="inlineStr"/>
      <c r="L117" s="14" t="inlineStr"/>
    </row>
    <row r="118">
      <c r="A118" s="13" t="inlineStr">
        <is>
          <t>TC-C-117</t>
        </is>
      </c>
      <c r="B118" s="14" t="inlineStr">
        <is>
          <t>عقود الصيانة واتفاقيات SLA</t>
        </is>
      </c>
      <c r="C118" s="15" t="inlineStr">
        <is>
          <t>SLA مميز 24x7 بساعات فعلية</t>
        </is>
      </c>
      <c r="D118" s="14" t="inlineStr">
        <is>
          <t>فئة premium؛ بلاغ الجمعة 23:00</t>
        </is>
      </c>
      <c r="E118" s="14" t="inlineStr">
        <is>
          <t>1. أنشئ البلاغ</t>
        </is>
      </c>
      <c r="F118" s="14" t="inlineStr">
        <is>
          <t>الاستجابة بعد 4 ساعات فعلية (السبت 03:00)</t>
        </is>
      </c>
      <c r="G118" s="13" t="inlineStr">
        <is>
          <t>P1</t>
        </is>
      </c>
      <c r="H118" s="14" t="inlineStr">
        <is>
          <t>حالات حدّية</t>
        </is>
      </c>
      <c r="I118" s="13" t="inlineStr">
        <is>
          <t>لم يُختبر</t>
        </is>
      </c>
      <c r="J118" s="14" t="inlineStr"/>
      <c r="K118" s="13" t="inlineStr"/>
      <c r="L118" s="14" t="inlineStr"/>
    </row>
    <row r="119">
      <c r="A119" s="13" t="inlineStr">
        <is>
          <t>TC-C-118</t>
        </is>
      </c>
      <c r="B119" s="14" t="inlineStr">
        <is>
          <t>عقود الصيانة واتفاقيات SLA</t>
        </is>
      </c>
      <c r="C119" s="15" t="inlineStr">
        <is>
          <t>حالة at_risk عند 75% وbreached بعد الموعد</t>
        </is>
      </c>
      <c r="D119" s="14" t="inlineStr">
        <is>
          <t>بلاغ SLA</t>
        </is>
      </c>
      <c r="E119" s="14" t="inlineStr">
        <is>
          <t>1. افحص عند 74% و75% وبعد الموعد
2. أرسل ردًا بعد الموعد</t>
        </is>
      </c>
      <c r="F119" s="14" t="inlineStr">
        <is>
          <t>ok ثم at_risk ثم breached؛ الرد المتأخر يبقى breached لا met</t>
        </is>
      </c>
      <c r="G119" s="13" t="inlineStr">
        <is>
          <t>P1</t>
        </is>
      </c>
      <c r="H119" s="14" t="inlineStr">
        <is>
          <t>حالات حدّية</t>
        </is>
      </c>
      <c r="I119" s="13" t="inlineStr">
        <is>
          <t>لم يُختبر</t>
        </is>
      </c>
      <c r="J119" s="14" t="inlineStr"/>
      <c r="K119" s="13" t="inlineStr"/>
      <c r="L119" s="14" t="inlineStr"/>
    </row>
    <row r="120">
      <c r="A120" s="13" t="inlineStr">
        <is>
          <t>TC-C-119</t>
        </is>
      </c>
      <c r="B120" s="14" t="inlineStr">
        <is>
          <t>عقود الصيانة واتفاقيات SLA</t>
        </is>
      </c>
      <c r="C120" s="15" t="inlineStr">
        <is>
          <t>تصعيد البلاغات المعرضة/المخترقة</t>
        </is>
      </c>
      <c r="D120" s="14" t="inlineStr">
        <is>
          <t>بلاغ دخل at_risk</t>
        </is>
      </c>
      <c r="E120" s="14" t="inlineStr">
        <is>
          <t>1. شغّل مهمة SLA</t>
        </is>
      </c>
      <c r="F120" s="14" t="inlineStr">
        <is>
          <t>إشعار للمسؤول/المشرف مرة واحدة لكل مستوى دون تكرار، وفلتر sla=at_risk/breached في القائمة</t>
        </is>
      </c>
      <c r="G120" s="13" t="inlineStr">
        <is>
          <t>P1</t>
        </is>
      </c>
      <c r="H120" s="14" t="inlineStr">
        <is>
          <t>وظيفي</t>
        </is>
      </c>
      <c r="I120" s="13" t="inlineStr">
        <is>
          <t>لم يُختبر</t>
        </is>
      </c>
      <c r="J120" s="14" t="inlineStr"/>
      <c r="K120" s="13" t="inlineStr"/>
      <c r="L120" s="14" t="inlineStr"/>
    </row>
    <row r="121">
      <c r="A121" s="13" t="inlineStr">
        <is>
          <t>TC-C-120</t>
        </is>
      </c>
      <c r="B121" s="14" t="inlineStr">
        <is>
          <t>عقود الصيانة واتفاقيات SLA</t>
        </is>
      </c>
      <c r="C121" s="15" t="inlineStr">
        <is>
          <t>منع تجديد مزدوج أو تجديد ملغى</t>
        </is>
      </c>
      <c r="D121" s="14" t="inlineStr">
        <is>
          <t>عقد له تجديد مسودة؛ وعقد ملغى</t>
        </is>
      </c>
      <c r="E121" s="14" t="inlineStr">
        <is>
          <t>1. جدّد الأول مرة ثانية
2. جدّد الملغى</t>
        </is>
      </c>
      <c r="F121" s="14" t="inlineStr">
        <is>
          <t>تعارض «renewal ... already exists»؛ ورفض «a cancelled agreement cannot be renewed»</t>
        </is>
      </c>
      <c r="G121" s="13" t="inlineStr">
        <is>
          <t>P2</t>
        </is>
      </c>
      <c r="H121" s="14" t="inlineStr">
        <is>
          <t>تحقق من المدخلات</t>
        </is>
      </c>
      <c r="I121" s="13" t="inlineStr">
        <is>
          <t>لم يُختبر</t>
        </is>
      </c>
      <c r="J121" s="14" t="inlineStr"/>
      <c r="K121" s="13" t="inlineStr"/>
      <c r="L121" s="14" t="inlineStr"/>
    </row>
    <row r="122">
      <c r="A122" s="13" t="inlineStr">
        <is>
          <t>TC-C-121</t>
        </is>
      </c>
      <c r="B122" s="14" t="inlineStr">
        <is>
          <t>عقود الصيانة واتفاقيات SLA</t>
        </is>
      </c>
      <c r="C122" s="15" t="inlineStr">
        <is>
          <t>استبيان رضا العميل CSAT</t>
        </is>
      </c>
      <c r="D122" s="14" t="inlineStr">
        <is>
          <t>أمر مكتمل</t>
        </is>
      </c>
      <c r="E122" s="14" t="inlineStr">
        <is>
          <t>1. اضغط إرسال CSAT
2. افتح الرابط العام وقيّم 5
3. حاول التقييم مجددًا أو بقيمة 0 أو 6 أو 4.5</t>
        </is>
      </c>
      <c r="F122" s="14" t="inlineStr">
        <is>
          <t>يُحفظ التقييم 5 مرة واحدة؛ القيم غير الصحيحة مرفوضة؛ يظهر في تقرير CSAT</t>
        </is>
      </c>
      <c r="G122" s="13" t="inlineStr">
        <is>
          <t>P2</t>
        </is>
      </c>
      <c r="H122" s="14" t="inlineStr">
        <is>
          <t>تحقق من المدخلات</t>
        </is>
      </c>
      <c r="I122" s="13" t="inlineStr">
        <is>
          <t>لم يُختبر</t>
        </is>
      </c>
      <c r="J122" s="14" t="inlineStr"/>
      <c r="K122" s="13" t="inlineStr"/>
      <c r="L122" s="14" t="inlineStr"/>
    </row>
    <row r="123">
      <c r="A123" s="13" t="inlineStr">
        <is>
          <t>TC-C-122</t>
        </is>
      </c>
      <c r="B123" s="14" t="inlineStr">
        <is>
          <t>عقود الصيانة واتفاقيات SLA</t>
        </is>
      </c>
      <c r="C123" s="15" t="inlineStr">
        <is>
          <t>حالة العقد حسب التاريخ</t>
        </is>
      </c>
      <c r="D123" s="14" t="inlineStr">
        <is>
          <t>عقد يبدأ غدًا وآخر انتهى أمس</t>
        </is>
      </c>
      <c r="E123" s="14" t="inlineStr">
        <is>
          <t>1. افتح القائمة</t>
        </is>
      </c>
      <c r="F123" s="14" t="inlineStr">
        <is>
          <t>pending وexpired؛ بلاغ على موقع عقده منتهٍ يصبح chargeable</t>
        </is>
      </c>
      <c r="G123" s="13" t="inlineStr">
        <is>
          <t>P2</t>
        </is>
      </c>
      <c r="H123" s="14" t="inlineStr">
        <is>
          <t>حالات حدّية</t>
        </is>
      </c>
      <c r="I123" s="13" t="inlineStr">
        <is>
          <t>لم يُختبر</t>
        </is>
      </c>
      <c r="J123" s="14" t="inlineStr"/>
      <c r="K123" s="13" t="inlineStr"/>
      <c r="L123" s="14" t="inlineStr"/>
    </row>
    <row r="124">
      <c r="A124" s="13" t="inlineStr">
        <is>
          <t>TC-C-123</t>
        </is>
      </c>
      <c r="B124" s="14" t="inlineStr">
        <is>
          <t>عقود الصيانة واتفاقيات SLA</t>
        </is>
      </c>
      <c r="C124" s="15" t="inlineStr">
        <is>
          <t>إلغاء العقد يوقف التغطية والفوترة المستقبلية</t>
        </is>
      </c>
      <c r="D124" s="14" t="inlineStr">
        <is>
          <t>عقد نشط</t>
        </is>
      </c>
      <c r="E124" s="14" t="inlineStr">
        <is>
          <t>1. ألغِ العقد بسبب
2. أنشئ بلاغًا
3. شغّل الفوترة</t>
        </is>
      </c>
      <c r="F124" s="14" t="inlineStr">
        <is>
          <t>لا تغطية amc ولا طلبات دفع جديدة؛ تدقيق الإلغاء</t>
        </is>
      </c>
      <c r="G124" s="13" t="inlineStr">
        <is>
          <t>P2</t>
        </is>
      </c>
      <c r="H124" s="14" t="inlineStr">
        <is>
          <t>وظيفي</t>
        </is>
      </c>
      <c r="I124" s="13" t="inlineStr">
        <is>
          <t>لم يُختبر</t>
        </is>
      </c>
      <c r="J124" s="14" t="inlineStr"/>
      <c r="K124" s="13" t="inlineStr"/>
      <c r="L124" s="14" t="inlineStr"/>
    </row>
    <row r="125">
      <c r="A125" s="13" t="inlineStr">
        <is>
          <t>TC-C-124</t>
        </is>
      </c>
      <c r="B125" s="14" t="inlineStr">
        <is>
          <t>عقود الصيانة واتفاقيات SLA</t>
        </is>
      </c>
      <c r="C125" s="15" t="inlineStr">
        <is>
          <t>تذكير التجديد عبر واتساب</t>
        </is>
      </c>
      <c r="D125" s="14" t="inlineStr">
        <is>
          <t>عقد ينتهي قريبًا</t>
        </is>
      </c>
      <c r="E125" s="14" t="inlineStr">
        <is>
          <t>1. شغّل المهمة</t>
        </is>
      </c>
      <c r="F125" s="14" t="inlineStr">
        <is>
          <t>يُرسل قالب mmc_amc_renewal (sandbox يُسجّل) مرة واحدة</t>
        </is>
      </c>
      <c r="G125" s="13" t="inlineStr">
        <is>
          <t>P3</t>
        </is>
      </c>
      <c r="H125" s="14" t="inlineStr">
        <is>
          <t>تكامل</t>
        </is>
      </c>
      <c r="I125" s="13" t="inlineStr">
        <is>
          <t>لم يُختبر</t>
        </is>
      </c>
      <c r="J125" s="14" t="inlineStr"/>
      <c r="K125" s="13" t="inlineStr"/>
      <c r="L125" s="14" t="inlineStr"/>
    </row>
    <row r="126">
      <c r="A126" s="13" t="inlineStr">
        <is>
          <t>TC-C-125</t>
        </is>
      </c>
      <c r="B126" s="14" t="inlineStr">
        <is>
          <t>عقود الصيانة واتفاقيات SLA</t>
        </is>
      </c>
      <c r="C126" s="15" t="inlineStr">
        <is>
          <t>الزيارات الوقائية لعقد أقصر من سنة</t>
        </is>
      </c>
      <c r="D126" s="14" t="inlineStr">
        <is>
          <t>عقد 6 أشهر فئة premium (6 زيارات/سنة)</t>
        </is>
      </c>
      <c r="E126" s="14" t="inlineStr">
        <is>
          <t>1. فعّل واعرض الزيارات</t>
        </is>
      </c>
      <c r="F126" s="14" t="inlineStr">
        <is>
          <t>3 زيارات موزعة بالتساوي على أيام عمل</t>
        </is>
      </c>
      <c r="G126" s="13" t="inlineStr">
        <is>
          <t>P3</t>
        </is>
      </c>
      <c r="H126" s="14" t="inlineStr">
        <is>
          <t>حالات حدّية</t>
        </is>
      </c>
      <c r="I126" s="13" t="inlineStr">
        <is>
          <t>لم يُختبر</t>
        </is>
      </c>
      <c r="J126" s="14" t="inlineStr"/>
      <c r="K126" s="13" t="inlineStr"/>
      <c r="L126" s="14" t="inlineStr"/>
    </row>
    <row r="127">
      <c r="A127" s="13" t="inlineStr">
        <is>
          <t>TC-C-126</t>
        </is>
      </c>
      <c r="B127" s="14" t="inlineStr">
        <is>
          <t>بوابة العملاء /portal</t>
        </is>
      </c>
      <c r="C127" s="15" t="inlineStr">
        <is>
          <t>تسجيل الدخول برمز واتساب</t>
        </is>
      </c>
      <c r="D127" s="14" t="inlineStr">
        <is>
          <t>حساب بوابة مفعل لرقم العميل</t>
        </is>
      </c>
      <c r="E127" s="14" t="inlineStr">
        <is>
          <t>1. افتح /portal/login وأدخل الرقم
2. أدخل الرمز ذي 6 أرقام (sandbox: من سجل الخادم)</t>
        </is>
      </c>
      <c r="F127" s="14" t="inlineStr">
        <is>
          <t>يدخل العميل ويرى اسم شركته؛ جلسة لمدة 7 أيام</t>
        </is>
      </c>
      <c r="G127" s="13" t="inlineStr">
        <is>
          <t>P1</t>
        </is>
      </c>
      <c r="H127" s="14" t="inlineStr">
        <is>
          <t>وظيفي</t>
        </is>
      </c>
      <c r="I127" s="13" t="inlineStr">
        <is>
          <t>لم يُختبر</t>
        </is>
      </c>
      <c r="J127" s="14" t="inlineStr"/>
      <c r="K127" s="13" t="inlineStr"/>
      <c r="L127" s="14" t="inlineStr"/>
    </row>
    <row r="128">
      <c r="A128" s="13" t="inlineStr">
        <is>
          <t>TC-C-127</t>
        </is>
      </c>
      <c r="B128" s="14" t="inlineStr">
        <is>
          <t>بوابة العملاء /portal</t>
        </is>
      </c>
      <c r="C128" s="15" t="inlineStr">
        <is>
          <t>رمز خاطئ وانتهاء الصلاحية وحد المحاولات</t>
        </is>
      </c>
      <c r="D128" s="14" t="inlineStr">
        <is>
          <t>رمز مطلوب</t>
        </is>
      </c>
      <c r="E128" s="14" t="inlineStr">
        <is>
          <t>1. أدخل رمزًا خاطئًا عدة مرات حتى الحد
2. اطلب رمزًا جديدًا وانتظر انتهاءه</t>
        </is>
      </c>
      <c r="F128" s="14" t="inlineStr">
        <is>
          <t>«wrong code» ثم «too many wrong attempts — request a new code»؛ الرمز المنتهي «the code expired»</t>
        </is>
      </c>
      <c r="G128" s="13" t="inlineStr">
        <is>
          <t>P1</t>
        </is>
      </c>
      <c r="H128" s="14" t="inlineStr">
        <is>
          <t>أمان</t>
        </is>
      </c>
      <c r="I128" s="13" t="inlineStr">
        <is>
          <t>لم يُختبر</t>
        </is>
      </c>
      <c r="J128" s="14" t="inlineStr"/>
      <c r="K128" s="13" t="inlineStr"/>
      <c r="L128" s="14" t="inlineStr"/>
    </row>
    <row r="129">
      <c r="A129" s="13" t="inlineStr">
        <is>
          <t>TC-C-128</t>
        </is>
      </c>
      <c r="B129" s="14" t="inlineStr">
        <is>
          <t>بوابة العملاء /portal</t>
        </is>
      </c>
      <c r="C129" s="15" t="inlineStr">
        <is>
          <t>حد طلبات الرمز لكل IP</t>
        </is>
      </c>
      <c r="D129" s="14" t="inlineStr">
        <is>
          <t>—</t>
        </is>
      </c>
      <c r="E129" s="14" t="inlineStr">
        <is>
          <t>1. اطلب الرمز 11 مرة خلال 10 دقائق</t>
        </is>
      </c>
      <c r="F129" s="14" t="inlineStr">
        <is>
          <t>الطلب 11 مرفوض «too many attempts»</t>
        </is>
      </c>
      <c r="G129" s="13" t="inlineStr">
        <is>
          <t>P1</t>
        </is>
      </c>
      <c r="H129" s="14" t="inlineStr">
        <is>
          <t>أمان</t>
        </is>
      </c>
      <c r="I129" s="13" t="inlineStr">
        <is>
          <t>لم يُختبر</t>
        </is>
      </c>
      <c r="J129" s="14" t="inlineStr"/>
      <c r="K129" s="13" t="inlineStr"/>
      <c r="L129" s="14" t="inlineStr"/>
    </row>
    <row r="130">
      <c r="A130" s="13" t="inlineStr">
        <is>
          <t>TC-C-129</t>
        </is>
      </c>
      <c r="B130" s="14" t="inlineStr">
        <is>
          <t>بوابة العملاء /portal</t>
        </is>
      </c>
      <c r="C130" s="15" t="inlineStr">
        <is>
          <t>عزل البيانات بين العملاء</t>
        </is>
      </c>
      <c r="D130" s="14" t="inlineStr">
        <is>
          <t>عميلا A وB</t>
        </is>
      </c>
      <c r="E130" s="14" t="inlineStr">
        <is>
          <t>1. ادخل كـ A
2. استدعِ /portal/devices/:id و/tickets/:id و/files/:id و/projects/:id لعناصر B</t>
        </is>
      </c>
      <c r="F130" s="14" t="inlineStr">
        <is>
          <t>404/403 لكل الطلبات دون كشف أي بيانات</t>
        </is>
      </c>
      <c r="G130" s="13" t="inlineStr">
        <is>
          <t>P1</t>
        </is>
      </c>
      <c r="H130" s="14" t="inlineStr">
        <is>
          <t>أمان</t>
        </is>
      </c>
      <c r="I130" s="13" t="inlineStr">
        <is>
          <t>لم يُختبر</t>
        </is>
      </c>
      <c r="J130" s="14" t="inlineStr"/>
      <c r="K130" s="13" t="inlineStr"/>
      <c r="L130" s="14" t="inlineStr"/>
    </row>
    <row r="131">
      <c r="A131" s="13" t="inlineStr">
        <is>
          <t>TC-C-130</t>
        </is>
      </c>
      <c r="B131" s="14" t="inlineStr">
        <is>
          <t>بوابة العملاء /portal</t>
        </is>
      </c>
      <c r="C131" s="15" t="inlineStr">
        <is>
          <t>البوابة لا تعرض التكلفة أو الهامش أو الملاحظات الداخلية</t>
        </is>
      </c>
      <c r="D131" s="14" t="inlineStr">
        <is>
          <t>عميل بفواتير وأجهزة وبلاغات بملاحظات داخلية</t>
        </is>
      </c>
      <c r="E131" s="14" t="inlineStr">
        <is>
          <t>1. افحص استجابات JSON لكل صفحات البوابة</t>
        </is>
      </c>
      <c r="F131" s="14" t="inlineStr">
        <is>
          <t>لا حقول تكلفة/هامش/ملاحظات داخلية/موظفين أو بيانات دخول الأجهزة</t>
        </is>
      </c>
      <c r="G131" s="13" t="inlineStr">
        <is>
          <t>P1</t>
        </is>
      </c>
      <c r="H131" s="14" t="inlineStr">
        <is>
          <t>أمان</t>
        </is>
      </c>
      <c r="I131" s="13" t="inlineStr">
        <is>
          <t>لم يُختبر</t>
        </is>
      </c>
      <c r="J131" s="14" t="inlineStr"/>
      <c r="K131" s="13" t="inlineStr"/>
      <c r="L131" s="14" t="inlineStr"/>
    </row>
    <row r="132">
      <c r="A132" s="13" t="inlineStr">
        <is>
          <t>TC-C-131</t>
        </is>
      </c>
      <c r="B132" s="14" t="inlineStr">
        <is>
          <t>بوابة العملاء /portal</t>
        </is>
      </c>
      <c r="C132" s="15" t="inlineStr">
        <is>
          <t>تقديم طلب صيانة مع صور</t>
        </is>
      </c>
      <c r="D132" s="14" t="inlineStr">
        <is>
          <t>عميل مسجل</t>
        </is>
      </c>
      <c r="E132" s="14" t="inlineStr">
        <is>
          <t>1. أنشئ طلبًا من /portal/requests مع صورتين واختيار جهاز</t>
        </is>
      </c>
      <c r="F132" s="14" t="inlineStr">
        <is>
          <t>يُنشأ بلاغ بقناة portal مع التغطية المحسوبة ويظهر للموظفين</t>
        </is>
      </c>
      <c r="G132" s="13" t="inlineStr">
        <is>
          <t>P1</t>
        </is>
      </c>
      <c r="H132" s="14" t="inlineStr">
        <is>
          <t>تكامل</t>
        </is>
      </c>
      <c r="I132" s="13" t="inlineStr">
        <is>
          <t>لم يُختبر</t>
        </is>
      </c>
      <c r="J132" s="14" t="inlineStr"/>
      <c r="K132" s="13" t="inlineStr"/>
      <c r="L132" s="14" t="inlineStr"/>
    </row>
    <row r="133">
      <c r="A133" s="13" t="inlineStr">
        <is>
          <t>TC-C-132</t>
        </is>
      </c>
      <c r="B133" s="14" t="inlineStr">
        <is>
          <t>بوابة العملاء /portal</t>
        </is>
      </c>
      <c r="C133" s="15" t="inlineStr">
        <is>
          <t>طلب صيانة بجهاز يخص عميلًا آخر</t>
        </is>
      </c>
      <c r="D133" s="14" t="inlineStr">
        <is>
          <t>عميل A</t>
        </is>
      </c>
      <c r="E133" s="14" t="inlineStr">
        <is>
          <t>1. أرسل POST /portal/tickets بـ assetId لجهاز B</t>
        </is>
      </c>
      <c r="F133" s="14" t="inlineStr">
        <is>
          <t>رفض؛ لا يُنشأ بلاغ مرتبط بجهاز B</t>
        </is>
      </c>
      <c r="G133" s="13" t="inlineStr">
        <is>
          <t>P1</t>
        </is>
      </c>
      <c r="H133" s="14" t="inlineStr">
        <is>
          <t>أمان</t>
        </is>
      </c>
      <c r="I133" s="13" t="inlineStr">
        <is>
          <t>لم يُختبر</t>
        </is>
      </c>
      <c r="J133" s="14" t="inlineStr"/>
      <c r="K133" s="13" t="inlineStr"/>
      <c r="L133" s="14" t="inlineStr"/>
    </row>
    <row r="134">
      <c r="A134" s="13" t="inlineStr">
        <is>
          <t>TC-C-133</t>
        </is>
      </c>
      <c r="B134" s="14" t="inlineStr">
        <is>
          <t>بوابة العملاء /portal</t>
        </is>
      </c>
      <c r="C134" s="15" t="inlineStr">
        <is>
          <t>اعتماد/رفض حزمة من البوابة</t>
        </is>
      </c>
      <c r="D134" s="14" t="inlineStr">
        <is>
          <t>اعتماد مرسل</t>
        </is>
      </c>
      <c r="E134" s="14" t="inlineStr">
        <is>
          <t>1. اعتمد مع اسم
2. حاول اعتماده مرة ثانية</t>
        </is>
      </c>
      <c r="F134" s="14" t="inlineStr">
        <is>
          <t>يُحفظ الاعتماد بالتاريخ ويظهر في المشروع؛ الثاني مرفوض لأنه غير معلق</t>
        </is>
      </c>
      <c r="G134" s="13" t="inlineStr">
        <is>
          <t>P1</t>
        </is>
      </c>
      <c r="H134" s="14" t="inlineStr">
        <is>
          <t>وظيفي</t>
        </is>
      </c>
      <c r="I134" s="13" t="inlineStr">
        <is>
          <t>لم يُختبر</t>
        </is>
      </c>
      <c r="J134" s="14" t="inlineStr"/>
      <c r="K134" s="13" t="inlineStr"/>
      <c r="L134" s="14" t="inlineStr"/>
    </row>
    <row r="135">
      <c r="A135" s="13" t="inlineStr">
        <is>
          <t>TC-C-134</t>
        </is>
      </c>
      <c r="B135" s="14" t="inlineStr">
        <is>
          <t>بوابة العملاء /portal</t>
        </is>
      </c>
      <c r="C135" s="15" t="inlineStr">
        <is>
          <t>تعطيل حساب البوابة يُبطل الجلسة</t>
        </is>
      </c>
      <c r="D135" s="14" t="inlineStr">
        <is>
          <t>عميل مسجل؛ موظف portal.manage</t>
        </is>
      </c>
      <c r="E135" s="14" t="inlineStr">
        <is>
          <t>1. عطّل الحساب
2. حدّث صفحة البوابة</t>
        </is>
      </c>
      <c r="F135" s="14" t="inlineStr">
        <is>
          <t>الطلب التالي 401 والعودة لصفحة الدخول</t>
        </is>
      </c>
      <c r="G135" s="13" t="inlineStr">
        <is>
          <t>P1</t>
        </is>
      </c>
      <c r="H135" s="14" t="inlineStr">
        <is>
          <t>أمان</t>
        </is>
      </c>
      <c r="I135" s="13" t="inlineStr">
        <is>
          <t>لم يُختبر</t>
        </is>
      </c>
      <c r="J135" s="14" t="inlineStr"/>
      <c r="K135" s="13" t="inlineStr"/>
      <c r="L135" s="14" t="inlineStr"/>
    </row>
    <row r="136">
      <c r="A136" s="13" t="inlineStr">
        <is>
          <t>TC-C-135</t>
        </is>
      </c>
      <c r="B136" s="14" t="inlineStr">
        <is>
          <t>بوابة العملاء /portal</t>
        </is>
      </c>
      <c r="C136" s="15" t="inlineStr">
        <is>
          <t>رقم غير مسجل لا يكشف وجود الحساب</t>
        </is>
      </c>
      <c r="D136" s="14" t="inlineStr">
        <is>
          <t>رقم بلا حساب</t>
        </is>
      </c>
      <c r="E136" s="14" t="inlineStr">
        <is>
          <t>1. اطلب رمزًا</t>
        </is>
      </c>
      <c r="F136" s="14" t="inlineStr">
        <is>
          <t>⚠ للتأكيد (السلوك المتوقع افتراض وليس قاعدة في الكود): نفس الاستجابة العامة دون إفصاح عن وجود الحساب ودون إرسال</t>
        </is>
      </c>
      <c r="G136" s="13" t="inlineStr">
        <is>
          <t>P2</t>
        </is>
      </c>
      <c r="H136" s="14" t="inlineStr">
        <is>
          <t>أمان</t>
        </is>
      </c>
      <c r="I136" s="13" t="inlineStr">
        <is>
          <t>لم يُختبر</t>
        </is>
      </c>
      <c r="J136" s="14" t="inlineStr"/>
      <c r="K136" s="13" t="inlineStr"/>
      <c r="L136" s="14" t="inlineStr"/>
    </row>
    <row r="137">
      <c r="A137" s="13" t="inlineStr">
        <is>
          <t>TC-C-136</t>
        </is>
      </c>
      <c r="B137" s="14" t="inlineStr">
        <is>
          <t>بوابة العملاء /portal</t>
        </is>
      </c>
      <c r="C137" s="15" t="inlineStr">
        <is>
          <t>رقم مرتبط بأكثر من شركة</t>
        </is>
      </c>
      <c r="D137" s="14" t="inlineStr">
        <is>
          <t>رقم له حسابان لعميلين</t>
        </is>
      </c>
      <c r="E137" s="14" t="inlineStr">
        <is>
          <t>1. تحقق من الرمز
2. اختر الشركة</t>
        </is>
      </c>
      <c r="F137" s="14" t="inlineStr">
        <is>
          <t>تظهر قائمة الاختيار ويبقى الرمز صالحًا حتى الاختيار؛ الجلسة لعميل واحد فقط</t>
        </is>
      </c>
      <c r="G137" s="13" t="inlineStr">
        <is>
          <t>P2</t>
        </is>
      </c>
      <c r="H137" s="14" t="inlineStr">
        <is>
          <t>وظيفي</t>
        </is>
      </c>
      <c r="I137" s="13" t="inlineStr">
        <is>
          <t>لم يُختبر</t>
        </is>
      </c>
      <c r="J137" s="14" t="inlineStr"/>
      <c r="K137" s="13" t="inlineStr"/>
      <c r="L137" s="14" t="inlineStr"/>
    </row>
    <row r="138">
      <c r="A138" s="13" t="inlineStr">
        <is>
          <t>TC-C-137</t>
        </is>
      </c>
      <c r="B138" s="14" t="inlineStr">
        <is>
          <t>بوابة العملاء /portal</t>
        </is>
      </c>
      <c r="C138" s="15" t="inlineStr">
        <is>
          <t>عرض الأجهزة وصحة الموقع</t>
        </is>
      </c>
      <c r="D138" s="14" t="inlineStr">
        <is>
          <t>عميل بأجهزة مربوطة بـ IoT</t>
        </is>
      </c>
      <c r="E138" s="14" t="inlineStr">
        <is>
          <t>1. افتح /portal/devices</t>
        </is>
      </c>
      <c r="F138" s="14" t="inlineStr">
        <is>
          <t>الأجهزة بالكود والتسلسلي والحالة والضمان، وحالة الاتصال online/offline</t>
        </is>
      </c>
      <c r="G138" s="13" t="inlineStr">
        <is>
          <t>P2</t>
        </is>
      </c>
      <c r="H138" s="14" t="inlineStr">
        <is>
          <t>واجهة وعرض</t>
        </is>
      </c>
      <c r="I138" s="13" t="inlineStr">
        <is>
          <t>لم يُختبر</t>
        </is>
      </c>
      <c r="J138" s="14" t="inlineStr"/>
      <c r="K138" s="13" t="inlineStr"/>
      <c r="L138" s="14" t="inlineStr"/>
    </row>
    <row r="139">
      <c r="A139" s="13" t="inlineStr">
        <is>
          <t>TC-C-138</t>
        </is>
      </c>
      <c r="B139" s="14" t="inlineStr">
        <is>
          <t>بوابة العملاء /portal</t>
        </is>
      </c>
      <c r="C139" s="15" t="inlineStr">
        <is>
          <t>الفواتير وطلبات الدفع والعقود</t>
        </is>
      </c>
      <c r="D139" s="14" t="inlineStr">
        <is>
          <t>عميل بفواتير</t>
        </is>
      </c>
      <c r="E139" s="14" t="inlineStr">
        <is>
          <t>1. افتح /portal/billing و/portal/agreements</t>
        </is>
      </c>
      <c r="F139" s="14" t="inlineStr">
        <is>
          <t>تظهر فواتيره وطلبات الدفع والعقود النشطة/المنتهية والزيارات القادمة فقط</t>
        </is>
      </c>
      <c r="G139" s="13" t="inlineStr">
        <is>
          <t>P2</t>
        </is>
      </c>
      <c r="H139" s="14" t="inlineStr">
        <is>
          <t>وظيفي</t>
        </is>
      </c>
      <c r="I139" s="13" t="inlineStr">
        <is>
          <t>لم يُختبر</t>
        </is>
      </c>
      <c r="J139" s="14" t="inlineStr"/>
      <c r="K139" s="13" t="inlineStr"/>
      <c r="L139" s="14" t="inlineStr"/>
    </row>
    <row r="140">
      <c r="A140" s="13" t="inlineStr">
        <is>
          <t>TC-C-139</t>
        </is>
      </c>
      <c r="B140" s="14" t="inlineStr">
        <is>
          <t>بوابة العملاء /portal</t>
        </is>
      </c>
      <c r="C140" s="15" t="inlineStr">
        <is>
          <t>تسجيل الخروج يلغي رمز الجلسة</t>
        </is>
      </c>
      <c r="D140" s="14" t="inlineStr">
        <is>
          <t>جلسة نشطة</t>
        </is>
      </c>
      <c r="E140" s="14" t="inlineStr">
        <is>
          <t>1. اخرج ثم أعد استخدام الكوكي القديم</t>
        </is>
      </c>
      <c r="F140" s="14" t="inlineStr">
        <is>
          <t>401</t>
        </is>
      </c>
      <c r="G140" s="13" t="inlineStr">
        <is>
          <t>P2</t>
        </is>
      </c>
      <c r="H140" s="14" t="inlineStr">
        <is>
          <t>أمان</t>
        </is>
      </c>
      <c r="I140" s="13" t="inlineStr">
        <is>
          <t>لم يُختبر</t>
        </is>
      </c>
      <c r="J140" s="14" t="inlineStr"/>
      <c r="K140" s="13" t="inlineStr"/>
      <c r="L140" s="14" t="inlineStr"/>
    </row>
    <row r="141">
      <c r="A141" s="13" t="inlineStr">
        <is>
          <t>TC-C-140</t>
        </is>
      </c>
      <c r="B141" s="14" t="inlineStr">
        <is>
          <t>بوابة العملاء /portal</t>
        </is>
      </c>
      <c r="C141" s="15" t="inlineStr">
        <is>
          <t>إدارة الحسابات لموظف بلا portal.manage</t>
        </is>
      </c>
      <c r="D141" s="14" t="inlineStr">
        <is>
          <t>موظف عادي</t>
        </is>
      </c>
      <c r="E141" s="14" t="inlineStr">
        <is>
          <t>1. GET /portal/accounts</t>
        </is>
      </c>
      <c r="F141" s="14" t="inlineStr">
        <is>
          <t>403</t>
        </is>
      </c>
      <c r="G141" s="13" t="inlineStr">
        <is>
          <t>P2</t>
        </is>
      </c>
      <c r="H141" s="14" t="inlineStr">
        <is>
          <t>صلاحيات</t>
        </is>
      </c>
      <c r="I141" s="13" t="inlineStr">
        <is>
          <t>لم يُختبر</t>
        </is>
      </c>
      <c r="J141" s="14" t="inlineStr"/>
      <c r="K141" s="13" t="inlineStr"/>
      <c r="L141" s="14" t="inlineStr"/>
    </row>
    <row r="142">
      <c r="A142" s="13" t="inlineStr">
        <is>
          <t>TC-C-141</t>
        </is>
      </c>
      <c r="B142" s="14" t="inlineStr">
        <is>
          <t>بوابة العملاء /portal</t>
        </is>
      </c>
      <c r="C142" s="15" t="inlineStr">
        <is>
          <t>البوابة على الجوال بالعربية</t>
        </is>
      </c>
      <c r="D142" s="14" t="inlineStr">
        <is>
          <t>جوال</t>
        </is>
      </c>
      <c r="E142" s="14" t="inlineStr">
        <is>
          <t>1. تصفح كل الصفحات</t>
        </is>
      </c>
      <c r="F142" s="14" t="inlineStr">
        <is>
          <t>RTL صحيح، لا تمرير أفقي</t>
        </is>
      </c>
      <c r="G142" s="13" t="inlineStr">
        <is>
          <t>P3</t>
        </is>
      </c>
      <c r="H142" s="14" t="inlineStr">
        <is>
          <t>واجهة وعرض</t>
        </is>
      </c>
      <c r="I142" s="13" t="inlineStr">
        <is>
          <t>لم يُختبر</t>
        </is>
      </c>
      <c r="J142" s="14" t="inlineStr"/>
      <c r="K142" s="13" t="inlineStr"/>
      <c r="L142" s="14" t="inlineStr"/>
    </row>
    <row r="143">
      <c r="A143" s="13" t="inlineStr">
        <is>
          <t>TC-C-142</t>
        </is>
      </c>
      <c r="B143" s="14" t="inlineStr">
        <is>
          <t>قاعدة المعرفة والردود الجاهزة</t>
        </is>
      </c>
      <c r="C143" s="15" t="inlineStr">
        <is>
          <t>المقالات الداخلية لا تظهر للعملاء</t>
        </is>
      </c>
      <c r="D143" s="14" t="inlineStr">
        <is>
          <t>مقالة منشورة بجمهور داخلي</t>
        </is>
      </c>
      <c r="E143" s="14" t="inlineStr">
        <is>
          <t>1. ابحث عنها في /portal/help وعبر kb/:slug</t>
        </is>
      </c>
      <c r="F143" s="14" t="inlineStr">
        <is>
          <t>غير ظاهرة و404</t>
        </is>
      </c>
      <c r="G143" s="13" t="inlineStr">
        <is>
          <t>P1</t>
        </is>
      </c>
      <c r="H143" s="14" t="inlineStr">
        <is>
          <t>أمان</t>
        </is>
      </c>
      <c r="I143" s="13" t="inlineStr">
        <is>
          <t>لم يُختبر</t>
        </is>
      </c>
      <c r="J143" s="14" t="inlineStr"/>
      <c r="K143" s="13" t="inlineStr"/>
      <c r="L143" s="14" t="inlineStr"/>
    </row>
    <row r="144">
      <c r="A144" s="13" t="inlineStr">
        <is>
          <t>TC-C-143</t>
        </is>
      </c>
      <c r="B144" s="14" t="inlineStr">
        <is>
          <t>قاعدة المعرفة والردود الجاهزة</t>
        </is>
      </c>
      <c r="C144" s="15" t="inlineStr">
        <is>
          <t>الهروب من HTML في المقالة</t>
        </is>
      </c>
      <c r="D144" s="14" t="inlineStr">
        <is>
          <t>مقالة تحتوي &lt;img onerror&gt;</t>
        </is>
      </c>
      <c r="E144" s="14" t="inlineStr">
        <is>
          <t>1. انشر واعرض في البوابة</t>
        </is>
      </c>
      <c r="F144" s="14" t="inlineStr">
        <is>
          <t>لا يُنفّذ أي سكربت</t>
        </is>
      </c>
      <c r="G144" s="13" t="inlineStr">
        <is>
          <t>P1</t>
        </is>
      </c>
      <c r="H144" s="14" t="inlineStr">
        <is>
          <t>أمان</t>
        </is>
      </c>
      <c r="I144" s="13" t="inlineStr">
        <is>
          <t>لم يُختبر</t>
        </is>
      </c>
      <c r="J144" s="14" t="inlineStr"/>
      <c r="K144" s="13" t="inlineStr"/>
      <c r="L144" s="14" t="inlineStr"/>
    </row>
    <row r="145">
      <c r="A145" s="13" t="inlineStr">
        <is>
          <t>TC-C-144</t>
        </is>
      </c>
      <c r="B145" s="14" t="inlineStr">
        <is>
          <t>قاعدة المعرفة والردود الجاهزة</t>
        </is>
      </c>
      <c r="C145" s="15" t="inlineStr">
        <is>
          <t>دورة حياة مقالة: مسودة ← نشر ← أرشفة</t>
        </is>
      </c>
      <c r="D145" s="14" t="inlineStr">
        <is>
          <t>صلاحية kb.write</t>
        </is>
      </c>
      <c r="E145" s="14" t="inlineStr">
        <is>
          <t>1. أنشئ مقالة
2. انشرها
3. أرشفها</t>
        </is>
      </c>
      <c r="F145" s="14" t="inlineStr">
        <is>
          <t>المسودة لا تظهر في البوابة؛ المنشورة تظهر؛ المؤرشفة تختفي</t>
        </is>
      </c>
      <c r="G145" s="13" t="inlineStr">
        <is>
          <t>P2</t>
        </is>
      </c>
      <c r="H145" s="14" t="inlineStr">
        <is>
          <t>وظيفي</t>
        </is>
      </c>
      <c r="I145" s="13" t="inlineStr">
        <is>
          <t>لم يُختبر</t>
        </is>
      </c>
      <c r="J145" s="14" t="inlineStr"/>
      <c r="K145" s="13" t="inlineStr"/>
      <c r="L145" s="14" t="inlineStr"/>
    </row>
    <row r="146">
      <c r="A146" s="13" t="inlineStr">
        <is>
          <t>TC-C-145</t>
        </is>
      </c>
      <c r="B146" s="14" t="inlineStr">
        <is>
          <t>قاعدة المعرفة والردود الجاهزة</t>
        </is>
      </c>
      <c r="C146" s="15" t="inlineStr">
        <is>
          <t>الردود الجاهزة مع المتغيرات</t>
        </is>
      </c>
      <c r="D146" s="14" t="inlineStr">
        <is>
          <t>رد جاهز يحتوي {name} ورقم البلاغ</t>
        </is>
      </c>
      <c r="E146" s="14" t="inlineStr">
        <is>
          <t>1. أدرج الرد في بلاغ (replies/:id/render)</t>
        </is>
      </c>
      <c r="F146" s="14" t="inlineStr">
        <is>
          <t>⚠ للتأكيد (السلوك المتوقع افتراض وليس قاعدة في الكود): تُستبدل المتغيرات باسم العميل ورقم البلاغ؛ المتغير المجهول يبقى ظاهرًا أو فارغًا بشكل واضح</t>
        </is>
      </c>
      <c r="G146" s="13" t="inlineStr">
        <is>
          <t>P2</t>
        </is>
      </c>
      <c r="H146" s="14" t="inlineStr">
        <is>
          <t>وظيفي</t>
        </is>
      </c>
      <c r="I146" s="13" t="inlineStr">
        <is>
          <t>لم يُختبر</t>
        </is>
      </c>
      <c r="J146" s="14" t="inlineStr"/>
      <c r="K146" s="13" t="inlineStr"/>
      <c r="L146" s="14" t="inlineStr"/>
    </row>
    <row r="147">
      <c r="A147" s="13" t="inlineStr">
        <is>
          <t>TC-C-146</t>
        </is>
      </c>
      <c r="B147" s="14" t="inlineStr">
        <is>
          <t>قاعدة المعرفة والردود الجاهزة</t>
        </is>
      </c>
      <c r="C147" s="15" t="inlineStr">
        <is>
          <t>ملاحظات «هل أفادتك؟»</t>
        </is>
      </c>
      <c r="D147" s="14" t="inlineStr">
        <is>
          <t>مقالة منشورة</t>
        </is>
      </c>
      <c r="E147" s="14" t="inlineStr">
        <is>
          <t>1. قيّم مفيد/غير مفيد من البوابة</t>
        </is>
      </c>
      <c r="F147" s="14" t="inlineStr">
        <is>
          <t>تتحدث العدادات</t>
        </is>
      </c>
      <c r="G147" s="13" t="inlineStr">
        <is>
          <t>P3</t>
        </is>
      </c>
      <c r="H147" s="14" t="inlineStr">
        <is>
          <t>وظيفي</t>
        </is>
      </c>
      <c r="I147" s="13" t="inlineStr">
        <is>
          <t>لم يُختبر</t>
        </is>
      </c>
      <c r="J147" s="14" t="inlineStr"/>
      <c r="K147" s="13" t="inlineStr"/>
      <c r="L147" s="14" t="inlineStr"/>
    </row>
    <row r="148">
      <c r="A148" s="13" t="inlineStr">
        <is>
          <t>TC-C-147</t>
        </is>
      </c>
      <c r="B148" s="14" t="inlineStr">
        <is>
          <t>قاعدة المعرفة والردود الجاهزة</t>
        </is>
      </c>
      <c r="C148" s="15" t="inlineStr">
        <is>
          <t>صلاحيات الردود الجاهزة</t>
        </is>
      </c>
      <c r="D148" s="14" t="inlineStr">
        <is>
          <t>مستخدم بلا kb.read/ticket.write/message.send</t>
        </is>
      </c>
      <c r="E148" s="14" t="inlineStr">
        <is>
          <t>1. GET /kb/replies</t>
        </is>
      </c>
      <c r="F148" s="14" t="inlineStr">
        <is>
          <t>403</t>
        </is>
      </c>
      <c r="G148" s="13" t="inlineStr">
        <is>
          <t>P3</t>
        </is>
      </c>
      <c r="H148" s="14" t="inlineStr">
        <is>
          <t>صلاحيات</t>
        </is>
      </c>
      <c r="I148" s="13" t="inlineStr">
        <is>
          <t>لم يُختبر</t>
        </is>
      </c>
      <c r="J148" s="14" t="inlineStr"/>
      <c r="K148" s="13" t="inlineStr"/>
      <c r="L148" s="14" t="inlineStr"/>
    </row>
    <row r="149">
      <c r="A149" s="13" t="inlineStr">
        <is>
          <t>TC-C-148</t>
        </is>
      </c>
      <c r="B149" s="14" t="inlineStr">
        <is>
          <t>تكامل IoT (ThingsBoard)</t>
        </is>
      </c>
      <c r="C149" s="15" t="inlineStr">
        <is>
          <t>رفض webhook بتوقيع خاطئ أو مفقود</t>
        </is>
      </c>
      <c r="D149" s="14" t="inlineStr">
        <is>
          <t>سر الويب هوك مضبوط</t>
        </is>
      </c>
      <c r="E149" s="14" t="inlineStr">
        <is>
          <t>1. أرسل تنبيهًا بدون X-MMC-Signature
2. وبتوقيع خاطئ
3. وبتوقيع صحيح لكن جسم معدل</t>
        </is>
      </c>
      <c r="F149" s="14" t="inlineStr">
        <is>
          <t>401 «bad or missing X-MMC-Signature» ولا يُنشأ شيء</t>
        </is>
      </c>
      <c r="G149" s="13" t="inlineStr">
        <is>
          <t>P1</t>
        </is>
      </c>
      <c r="H149" s="14" t="inlineStr">
        <is>
          <t>أمان</t>
        </is>
      </c>
      <c r="I149" s="13" t="inlineStr">
        <is>
          <t>لم يُختبر</t>
        </is>
      </c>
      <c r="J149" s="14" t="inlineStr"/>
      <c r="K149" s="13" t="inlineStr"/>
      <c r="L149" s="14" t="inlineStr"/>
    </row>
    <row r="150">
      <c r="A150" s="13" t="inlineStr">
        <is>
          <t>TC-C-149</t>
        </is>
      </c>
      <c r="B150" s="14" t="inlineStr">
        <is>
          <t>تكامل IoT (ThingsBoard)</t>
        </is>
      </c>
      <c r="C150" s="15" t="inlineStr">
        <is>
          <t>webhook غير مهيأ</t>
        </is>
      </c>
      <c r="D150" s="14" t="inlineStr">
        <is>
          <t>بدون سر</t>
        </is>
      </c>
      <c r="E150" s="14" t="inlineStr">
        <is>
          <t>1. أرسل أي طلب</t>
        </is>
      </c>
      <c r="F150" s="14" t="inlineStr">
        <is>
          <t>403 «webhook is not configured»</t>
        </is>
      </c>
      <c r="G150" s="13" t="inlineStr">
        <is>
          <t>P1</t>
        </is>
      </c>
      <c r="H150" s="14" t="inlineStr">
        <is>
          <t>أمان</t>
        </is>
      </c>
      <c r="I150" s="13" t="inlineStr">
        <is>
          <t>لم يُختبر</t>
        </is>
      </c>
      <c r="J150" s="14" t="inlineStr"/>
      <c r="K150" s="13" t="inlineStr"/>
      <c r="L150" s="14" t="inlineStr"/>
    </row>
    <row r="151">
      <c r="A151" s="13" t="inlineStr">
        <is>
          <t>TC-C-150</t>
        </is>
      </c>
      <c r="B151" s="14" t="inlineStr">
        <is>
          <t>تكامل IoT (ThingsBoard)</t>
        </is>
      </c>
      <c r="C151" s="15" t="inlineStr">
        <is>
          <t>تنبيه CRITICAL ينشئ بلاغًا عاجلًا</t>
        </is>
      </c>
      <c r="D151" s="14" t="inlineStr">
        <is>
          <t>جهاز مربوط بـ ThingsBoard</t>
        </is>
      </c>
      <c r="E151" s="14" t="inlineStr">
        <is>
          <t>1. أرسل تنبيه CRITICAL موقّعًا</t>
        </is>
      </c>
      <c r="F151" s="14" t="inlineStr">
        <is>
          <t>تنبيه + بلاغ واحد بأولوية urgent مرتبط بالجهاز والموقع مع التغطية</t>
        </is>
      </c>
      <c r="G151" s="13" t="inlineStr">
        <is>
          <t>P1</t>
        </is>
      </c>
      <c r="H151" s="14" t="inlineStr">
        <is>
          <t>تكامل</t>
        </is>
      </c>
      <c r="I151" s="13" t="inlineStr">
        <is>
          <t>لم يُختبر</t>
        </is>
      </c>
      <c r="J151" s="14" t="inlineStr"/>
      <c r="K151" s="13" t="inlineStr"/>
      <c r="L151" s="14" t="inlineStr"/>
    </row>
    <row r="152">
      <c r="A152" s="13" t="inlineStr">
        <is>
          <t>TC-C-151</t>
        </is>
      </c>
      <c r="B152" s="14" t="inlineStr">
        <is>
          <t>تكامل IoT (ThingsBoard)</t>
        </is>
      </c>
      <c r="C152" s="15" t="inlineStr">
        <is>
          <t>بلاغ واحد لكل جهاز/نوع تنبيه</t>
        </is>
      </c>
      <c r="D152" s="14" t="inlineStr">
        <is>
          <t>تنبيه نشط له بلاغ</t>
        </is>
      </c>
      <c r="E152" s="14" t="inlineStr">
        <is>
          <t>1. أرسل نفس التنبيه 5 مرات
2. أرسله بعد clear خلال 5 دقائق</t>
        </is>
      </c>
      <c r="F152" s="14" t="inlineStr">
        <is>
          <t>لا بلاغات إضافية؛ التكرار داخل نافذة 5 دقائق يعيد فتح التنبيه نفسه</t>
        </is>
      </c>
      <c r="G152" s="13" t="inlineStr">
        <is>
          <t>P1</t>
        </is>
      </c>
      <c r="H152" s="14" t="inlineStr">
        <is>
          <t>حالات حدّية</t>
        </is>
      </c>
      <c r="I152" s="13" t="inlineStr">
        <is>
          <t>لم يُختبر</t>
        </is>
      </c>
      <c r="J152" s="14" t="inlineStr"/>
      <c r="K152" s="13" t="inlineStr"/>
      <c r="L152" s="14" t="inlineStr"/>
    </row>
    <row r="153">
      <c r="A153" s="13" t="inlineStr">
        <is>
          <t>TC-C-152</t>
        </is>
      </c>
      <c r="B153" s="14" t="inlineStr">
        <is>
          <t>تكامل IoT (ThingsBoard)</t>
        </is>
      </c>
      <c r="C153" s="15" t="inlineStr">
        <is>
          <t>MINOR يُسجَّل فقط وMAJOR بأولوية high</t>
        </is>
      </c>
      <c r="D153" s="14" t="inlineStr">
        <is>
          <t>—</t>
        </is>
      </c>
      <c r="E153" s="14" t="inlineStr">
        <is>
          <t>1. أرسل MINOR ثم MAJOR</t>
        </is>
      </c>
      <c r="F153" s="14" t="inlineStr">
        <is>
          <t>MINOR: logged بلا بلاغ؛ MAJOR: بلاغ high</t>
        </is>
      </c>
      <c r="G153" s="13" t="inlineStr">
        <is>
          <t>P2</t>
        </is>
      </c>
      <c r="H153" s="14" t="inlineStr">
        <is>
          <t>وظيفي</t>
        </is>
      </c>
      <c r="I153" s="13" t="inlineStr">
        <is>
          <t>لم يُختبر</t>
        </is>
      </c>
      <c r="J153" s="14" t="inlineStr"/>
      <c r="K153" s="13" t="inlineStr"/>
      <c r="L153" s="14" t="inlineStr"/>
    </row>
    <row r="154">
      <c r="A154" s="13" t="inlineStr">
        <is>
          <t>TC-C-153</t>
        </is>
      </c>
      <c r="B154" s="14" t="inlineStr">
        <is>
          <t>تكامل IoT (ThingsBoard)</t>
        </is>
      </c>
      <c r="C154" s="15" t="inlineStr">
        <is>
          <t>ACK وCLEAR</t>
        </is>
      </c>
      <c r="D154" s="14" t="inlineStr">
        <is>
          <t>تنبيه نشط له بلاغ لم يبدأ</t>
        </is>
      </c>
      <c r="E154" s="14" t="inlineStr">
        <is>
          <t>1. أرسل ACTIVE_ACK
2. أرسل CLEARED_ACK</t>
        </is>
      </c>
      <c r="F154" s="14" t="inlineStr">
        <is>
          <t>acknowledged ثم cleared مع ملاحظة على البلاغ «زال التنبيه... تحقّق قبل إرسال الفني»</t>
        </is>
      </c>
      <c r="G154" s="13" t="inlineStr">
        <is>
          <t>P2</t>
        </is>
      </c>
      <c r="H154" s="14" t="inlineStr">
        <is>
          <t>وظيفي</t>
        </is>
      </c>
      <c r="I154" s="13" t="inlineStr">
        <is>
          <t>لم يُختبر</t>
        </is>
      </c>
      <c r="J154" s="14" t="inlineStr"/>
      <c r="K154" s="13" t="inlineStr"/>
      <c r="L154" s="14" t="inlineStr"/>
    </row>
    <row r="155">
      <c r="A155" s="13" t="inlineStr">
        <is>
          <t>TC-C-154</t>
        </is>
      </c>
      <c r="B155" s="14" t="inlineStr">
        <is>
          <t>تكامل IoT (ThingsBoard)</t>
        </is>
      </c>
      <c r="C155" s="15" t="inlineStr">
        <is>
          <t>تنبيه من جهاز غير مربوط</t>
        </is>
      </c>
      <c r="D155" s="14" t="inlineStr">
        <is>
          <t>deviceName غير مسجل</t>
        </is>
      </c>
      <c r="E155" s="14" t="inlineStr">
        <is>
          <t>1. أرسل تنبيهًا</t>
        </is>
      </c>
      <c r="F155" s="14" t="inlineStr">
        <is>
          <t>يُسجَّل كـ unbound وإشعار لمديري IoT دون بلاغ</t>
        </is>
      </c>
      <c r="G155" s="13" t="inlineStr">
        <is>
          <t>P2</t>
        </is>
      </c>
      <c r="H155" s="14" t="inlineStr">
        <is>
          <t>حالات حدّية</t>
        </is>
      </c>
      <c r="I155" s="13" t="inlineStr">
        <is>
          <t>لم يُختبر</t>
        </is>
      </c>
      <c r="J155" s="14" t="inlineStr"/>
      <c r="K155" s="13" t="inlineStr"/>
      <c r="L155" s="14" t="inlineStr"/>
    </row>
    <row r="156">
      <c r="A156" s="13" t="inlineStr">
        <is>
          <t>TC-C-155</t>
        </is>
      </c>
      <c r="B156" s="14" t="inlineStr">
        <is>
          <t>تكامل IoT (ThingsBoard)</t>
        </is>
      </c>
      <c r="C156" s="15" t="inlineStr">
        <is>
          <t>Heartbeat يحدّث حالة الاتصال</t>
        </is>
      </c>
      <c r="D156" s="14" t="inlineStr">
        <is>
          <t>جهاز مربوط</t>
        </is>
      </c>
      <c r="E156" s="14" t="inlineStr">
        <is>
          <t>1. أرسل heartbeat online=false
2. افتح صحة الموقع</t>
        </is>
      </c>
      <c r="F156" s="14" t="inlineStr">
        <is>
          <t>الجهاز offline وعدد offline يزداد في صحة الموقع والبوابة</t>
        </is>
      </c>
      <c r="G156" s="13" t="inlineStr">
        <is>
          <t>P2</t>
        </is>
      </c>
      <c r="H156" s="14" t="inlineStr">
        <is>
          <t>وظيفي</t>
        </is>
      </c>
      <c r="I156" s="13" t="inlineStr">
        <is>
          <t>لم يُختبر</t>
        </is>
      </c>
      <c r="J156" s="14" t="inlineStr"/>
      <c r="K156" s="13" t="inlineStr"/>
      <c r="L156" s="14" t="inlineStr"/>
    </row>
    <row r="157">
      <c r="A157" s="13" t="inlineStr">
        <is>
          <t>TC-C-156</t>
        </is>
      </c>
      <c r="B157" s="14" t="inlineStr">
        <is>
          <t>تكامل IoT (ThingsBoard)</t>
        </is>
      </c>
      <c r="C157" s="15" t="inlineStr">
        <is>
          <t>JSON تالف بتوقيع صحيح</t>
        </is>
      </c>
      <c r="D157" s="14" t="inlineStr">
        <is>
          <t>—</t>
        </is>
      </c>
      <c r="E157" s="14" t="inlineStr">
        <is>
          <t>1. أرسل جسمًا غير صالح موقّعًا</t>
        </is>
      </c>
      <c r="F157" s="14" t="inlineStr">
        <is>
          <t>400 invalid JSON/validation failed</t>
        </is>
      </c>
      <c r="G157" s="13" t="inlineStr">
        <is>
          <t>P3</t>
        </is>
      </c>
      <c r="H157" s="14" t="inlineStr">
        <is>
          <t>تحقق من المدخلات</t>
        </is>
      </c>
      <c r="I157" s="13" t="inlineStr">
        <is>
          <t>لم يُختبر</t>
        </is>
      </c>
      <c r="J157" s="14" t="inlineStr"/>
      <c r="K157" s="13" t="inlineStr"/>
      <c r="L157" s="14" t="inlineStr"/>
    </row>
    <row r="158">
      <c r="A158" s="13" t="inlineStr">
        <is>
          <t>TC-C-157</t>
        </is>
      </c>
      <c r="B158" s="14" t="inlineStr">
        <is>
          <t>تكامل IoT (ThingsBoard)</t>
        </is>
      </c>
      <c r="C158" s="15" t="inlineStr">
        <is>
          <t>تنبيه اختباري من الواجهة</t>
        </is>
      </c>
      <c r="D158" s="14" t="inlineStr">
        <is>
          <t>صلاحية iot.manage</t>
        </is>
      </c>
      <c r="E158" s="14" t="inlineStr">
        <is>
          <t>1. اضغط test-alarm</t>
        </is>
      </c>
      <c r="F158" s="14" t="inlineStr">
        <is>
          <t>يُنشأ تنبيه تجريبي يظهر في /iot</t>
        </is>
      </c>
      <c r="G158" s="13" t="inlineStr">
        <is>
          <t>P3</t>
        </is>
      </c>
      <c r="H158" s="14" t="inlineStr">
        <is>
          <t>وظيفي</t>
        </is>
      </c>
      <c r="I158" s="13" t="inlineStr">
        <is>
          <t>لم يُختبر</t>
        </is>
      </c>
      <c r="J158" s="14" t="inlineStr"/>
      <c r="K158" s="13" t="inlineStr"/>
      <c r="L158" s="14" t="inlineStr"/>
    </row>
    <row r="159">
      <c r="A159" s="13" t="inlineStr">
        <is>
          <t>TC-C-158</t>
        </is>
      </c>
      <c r="B159" s="14" t="inlineStr">
        <is>
          <t>الذكاء الاصطناعي (وضع sandbox)</t>
        </is>
      </c>
      <c r="C159" s="15" t="inlineStr">
        <is>
          <t>BOQ إلى عرض سعر يتطلب موافقة بشرية</t>
        </is>
      </c>
      <c r="D159" s="14" t="inlineStr">
        <is>
          <t>وضع sandbox؛ صلاحية ai.use</t>
        </is>
      </c>
      <c r="E159" s="14" t="inlineStr">
        <is>
          <t>1. ارفع BOQ نصيًا
2. راجع الاقتراح
3. حاول إنشاء العرض دون ai.approve</t>
        </is>
      </c>
      <c r="F159" s="14" t="inlineStr">
        <is>
          <t>اقتراح بنود بحالة sandbox وتكلفة 0؛ الإنشاء يتطلب ai.approve ولا يُنشأ عرض تلقائيًا</t>
        </is>
      </c>
      <c r="G159" s="13" t="inlineStr">
        <is>
          <t>P1</t>
        </is>
      </c>
      <c r="H159" s="14" t="inlineStr">
        <is>
          <t>صلاحيات</t>
        </is>
      </c>
      <c r="I159" s="13" t="inlineStr">
        <is>
          <t>لم يُختبر</t>
        </is>
      </c>
      <c r="J159" s="14" t="inlineStr"/>
      <c r="K159" s="13" t="inlineStr"/>
      <c r="L159" s="14" t="inlineStr"/>
    </row>
    <row r="160">
      <c r="A160" s="13" t="inlineStr">
        <is>
          <t>TC-C-159</t>
        </is>
      </c>
      <c r="B160" s="14" t="inlineStr">
        <is>
          <t>الذكاء الاصطناعي (وضع sandbox)</t>
        </is>
      </c>
      <c r="C160" s="15" t="inlineStr">
        <is>
          <t>حد الميزانية اليومية</t>
        </is>
      </c>
      <c r="D160" s="14" t="inlineStr">
        <is>
          <t>AI_DAILY_USD صغير ومستنفد</t>
        </is>
      </c>
      <c r="E160" s="14" t="inlineStr">
        <is>
          <t>1. استدعِ أي ميزة AI</t>
        </is>
      </c>
      <c r="F160" s="14" t="inlineStr">
        <is>
          <t>429 ai_budget_exceeded «resets at midnight Riyadh time» وسجل blocked</t>
        </is>
      </c>
      <c r="G160" s="13" t="inlineStr">
        <is>
          <t>P1</t>
        </is>
      </c>
      <c r="H160" s="14" t="inlineStr">
        <is>
          <t>حالات حدّية</t>
        </is>
      </c>
      <c r="I160" s="13" t="inlineStr">
        <is>
          <t>لم يُختبر</t>
        </is>
      </c>
      <c r="J160" s="14" t="inlineStr"/>
      <c r="K160" s="13" t="inlineStr"/>
      <c r="L160" s="14" t="inlineStr"/>
    </row>
    <row r="161">
      <c r="A161" s="13" t="inlineStr">
        <is>
          <t>TC-C-160</t>
        </is>
      </c>
      <c r="B161" s="14" t="inlineStr">
        <is>
          <t>الذكاء الاصطناعي (وضع sandbox)</t>
        </is>
      </c>
      <c r="C161" s="15" t="inlineStr">
        <is>
          <t>إنشاء رمز MCP وإبطاله</t>
        </is>
      </c>
      <c r="D161" s="14" t="inlineStr">
        <is>
          <t>ai.use</t>
        </is>
      </c>
      <c r="E161" s="14" t="inlineStr">
        <is>
          <t>1. أنشئ رمزًا لمدة 30 يومًا
2. استخدمه على /mcp
3. ألغِه وأعد الاستخدام
4. أنشئ رمزًا لمدة 91 يومًا</t>
        </is>
      </c>
      <c r="F161" s="14" t="inlineStr">
        <is>
          <t>الرمز يظهر مرة واحدة ويعمل؛ بعد الإلغاء 401؛ 91 يومًا مرفوض</t>
        </is>
      </c>
      <c r="G161" s="13" t="inlineStr">
        <is>
          <t>P1</t>
        </is>
      </c>
      <c r="H161" s="14" t="inlineStr">
        <is>
          <t>أمان</t>
        </is>
      </c>
      <c r="I161" s="13" t="inlineStr">
        <is>
          <t>لم يُختبر</t>
        </is>
      </c>
      <c r="J161" s="14" t="inlineStr"/>
      <c r="K161" s="13" t="inlineStr"/>
      <c r="L161" s="14" t="inlineStr"/>
    </row>
    <row r="162">
      <c r="A162" s="13" t="inlineStr">
        <is>
          <t>TC-C-161</t>
        </is>
      </c>
      <c r="B162" s="14" t="inlineStr">
        <is>
          <t>الذكاء الاصطناعي (وضع sandbox)</t>
        </is>
      </c>
      <c r="C162" s="15" t="inlineStr">
        <is>
          <t>رمز MCP يحترم الصلاحيات ونطاق السجل</t>
        </is>
      </c>
      <c r="D162" s="14" t="inlineStr">
        <is>
          <t>رمز لفني بنطاق own</t>
        </is>
      </c>
      <c r="E162" s="14" t="inlineStr">
        <is>
          <t>1. اطلب عبر MCP مشاريع أو بلاغات غيره</t>
        </is>
      </c>
      <c r="F162" s="14" t="inlineStr">
        <is>
          <t>لا تُرجع إلا سجلاته؛ نفس قواعد @Perm</t>
        </is>
      </c>
      <c r="G162" s="13" t="inlineStr">
        <is>
          <t>P1</t>
        </is>
      </c>
      <c r="H162" s="14" t="inlineStr">
        <is>
          <t>أمان</t>
        </is>
      </c>
      <c r="I162" s="13" t="inlineStr">
        <is>
          <t>لم يُختبر</t>
        </is>
      </c>
      <c r="J162" s="14" t="inlineStr"/>
      <c r="K162" s="13" t="inlineStr"/>
      <c r="L162" s="14" t="inlineStr"/>
    </row>
    <row r="163">
      <c r="A163" s="13" t="inlineStr">
        <is>
          <t>TC-C-162</t>
        </is>
      </c>
      <c r="B163" s="14" t="inlineStr">
        <is>
          <t>الذكاء الاصطناعي (وضع sandbox)</t>
        </is>
      </c>
      <c r="C163" s="15" t="inlineStr">
        <is>
          <t>صياغة رد على بلاغ</t>
        </is>
      </c>
      <c r="D163" s="14" t="inlineStr">
        <is>
          <t>بلاغ مفتوح؛ sandbox</t>
        </is>
      </c>
      <c r="E163" s="14" t="inlineStr">
        <is>
          <t>1. اضغط «صياغة رد»</t>
        </is>
      </c>
      <c r="F163" s="14" t="inlineStr">
        <is>
          <t>مسودة رد عربية تُدرج للمراجعة ولا تُرسل تلقائيًا؛ يُسجَّل ai_call بحالة sandbox</t>
        </is>
      </c>
      <c r="G163" s="13" t="inlineStr">
        <is>
          <t>P2</t>
        </is>
      </c>
      <c r="H163" s="14" t="inlineStr">
        <is>
          <t>وظيفي</t>
        </is>
      </c>
      <c r="I163" s="13" t="inlineStr">
        <is>
          <t>لم يُختبر</t>
        </is>
      </c>
      <c r="J163" s="14" t="inlineStr"/>
      <c r="K163" s="13" t="inlineStr"/>
      <c r="L163" s="14" t="inlineStr"/>
    </row>
    <row r="164">
      <c r="A164" s="13" t="inlineStr">
        <is>
          <t>TC-C-163</t>
        </is>
      </c>
      <c r="B164" s="14" t="inlineStr">
        <is>
          <t>الذكاء الاصطناعي (وضع sandbox)</t>
        </is>
      </c>
      <c r="C164" s="15" t="inlineStr">
        <is>
          <t>حجب البيانات الحساسة قبل الإرسال</t>
        </is>
      </c>
      <c r="D164" s="14" t="inlineStr">
        <is>
          <t>نص يحتوي رقم هوية/جوال</t>
        </is>
      </c>
      <c r="E164" s="14" t="inlineStr">
        <is>
          <t>1. استدعِ صياغة الرد وافحص سجل ai_call</t>
        </is>
      </c>
      <c r="F164" s="14" t="inlineStr">
        <is>
          <t>تظهر القيم محجوبة في المدخلات المسجلة</t>
        </is>
      </c>
      <c r="G164" s="13" t="inlineStr">
        <is>
          <t>P2</t>
        </is>
      </c>
      <c r="H164" s="14" t="inlineStr">
        <is>
          <t>أمان</t>
        </is>
      </c>
      <c r="I164" s="13" t="inlineStr">
        <is>
          <t>لم يُختبر</t>
        </is>
      </c>
      <c r="J164" s="14" t="inlineStr"/>
      <c r="K164" s="13" t="inlineStr"/>
      <c r="L164" s="14" t="inlineStr"/>
    </row>
  </sheetData>
  <autoFilter ref="A1:L164"/>
  <conditionalFormatting sqref="A2:L164">
    <cfRule type="expression" priority="1" dxfId="0">
      <formula>$I2="ناجح"</formula>
    </cfRule>
    <cfRule type="expression" priority="2" dxfId="1">
      <formula>$I2="فاشل"</formula>
    </cfRule>
    <cfRule type="expression" priority="3" dxfId="2">
      <formula>$I2="محجوب"</formula>
    </cfRule>
  </conditionalFormatting>
  <conditionalFormatting sqref="G2:G164">
    <cfRule type="expression" priority="4" dxfId="3">
      <formula>$G2="P1"</formula>
    </cfRule>
  </conditionalFormatting>
  <dataValidations count="2">
    <dataValidation sqref="I2:I164" showDropDown="0" showInputMessage="0" showErrorMessage="0" allowBlank="0" type="list">
      <formula1>"لم يُختبر,ناجح,فاشل,محجوب"</formula1>
    </dataValidation>
    <dataValidation sqref="G2:G164" showDropDown="0" showInputMessage="0" showErrorMessage="0" allowBlank="0" type="list">
      <formula1>"P1,P2,P3"</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74"/>
  <sheetViews>
    <sheetView rightToLeft="1"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8" customWidth="1" min="2" max="2"/>
    <col width="38" customWidth="1" min="3" max="3"/>
    <col width="28" customWidth="1" min="4" max="4"/>
    <col width="52" customWidth="1" min="5" max="5"/>
    <col width="46" customWidth="1" min="6" max="6"/>
    <col width="9" customWidth="1" min="7" max="7"/>
    <col width="14" customWidth="1" min="8" max="8"/>
    <col width="12" customWidth="1" min="9" max="9"/>
    <col width="14" customWidth="1" min="10" max="10"/>
    <col width="13" customWidth="1" min="11" max="11"/>
    <col width="30" customWidth="1" min="12" max="12"/>
  </cols>
  <sheetData>
    <row r="1">
      <c r="A1" s="3" t="inlineStr">
        <is>
          <t>الرقم</t>
        </is>
      </c>
      <c r="B1" s="3" t="inlineStr">
        <is>
          <t>الوحدة</t>
        </is>
      </c>
      <c r="C1" s="3" t="inlineStr">
        <is>
          <t>السيناريو</t>
        </is>
      </c>
      <c r="D1" s="3" t="inlineStr">
        <is>
          <t>الشروط المسبقة / الدور</t>
        </is>
      </c>
      <c r="E1" s="3" t="inlineStr">
        <is>
          <t>الخطوات</t>
        </is>
      </c>
      <c r="F1" s="3" t="inlineStr">
        <is>
          <t>النتيجة المتوقعة</t>
        </is>
      </c>
      <c r="G1" s="3" t="inlineStr">
        <is>
          <t>الأولوية</t>
        </is>
      </c>
      <c r="H1" s="3" t="inlineStr">
        <is>
          <t>النوع</t>
        </is>
      </c>
      <c r="I1" s="3" t="inlineStr">
        <is>
          <t>الحالة</t>
        </is>
      </c>
      <c r="J1" s="3" t="inlineStr">
        <is>
          <t>المختبِر</t>
        </is>
      </c>
      <c r="K1" s="3" t="inlineStr">
        <is>
          <t>تاريخ الاختبار</t>
        </is>
      </c>
      <c r="L1" s="3" t="inlineStr">
        <is>
          <t>ملاحظات / رقم البلاغ</t>
        </is>
      </c>
    </row>
    <row r="2">
      <c r="A2" s="13" t="inlineStr">
        <is>
          <t>TC-D-001</t>
        </is>
      </c>
      <c r="B2" s="14" t="inlineStr">
        <is>
          <t>الموارد البشرية — العروض الوظيفية</t>
        </is>
      </c>
      <c r="C2" s="15" t="inlineStr">
        <is>
          <t>إنشاء عرض وظيفي كمسودة بالقيم الافتراضية</t>
        </is>
      </c>
      <c r="D2" s="14" t="inlineStr">
        <is>
          <t>مستخدم بدور hr (hr.write)</t>
        </is>
      </c>
      <c r="E2" s="14" t="inlineStr">
        <is>
          <t>1. افتح /hr/offers واضغط عرض جديد
2. أدخل اسم المرشح بالعربية والمسمى الوظيفي والراتب الأساسي 8000 وسكن 2000 ونقل 800
3. احفظ</t>
        </is>
      </c>
      <c r="F2" s="14" t="inlineStr">
        <is>
          <t>يُحفظ العرض بحالة draft برقم جديد، والقيم الافتراضية: عقد unlimited، دوام full_time، تجربة 90 يومًا، 48 ساعة، 21 يوم إجازة، إشعار 60 يومًا، صلاحية 7 أيام. الإجمالي الشهري 10,800 والسنوي 129,600</t>
        </is>
      </c>
      <c r="G2" s="13" t="inlineStr">
        <is>
          <t>P1</t>
        </is>
      </c>
      <c r="H2" s="14" t="inlineStr">
        <is>
          <t>وظيفي</t>
        </is>
      </c>
      <c r="I2" s="13" t="inlineStr">
        <is>
          <t>لم يُختبر</t>
        </is>
      </c>
      <c r="J2" s="14" t="inlineStr"/>
      <c r="K2" s="13" t="inlineStr"/>
      <c r="L2" s="14" t="inlineStr"/>
    </row>
    <row r="3">
      <c r="A3" s="13" t="inlineStr">
        <is>
          <t>TC-D-002</t>
        </is>
      </c>
      <c r="B3" s="14" t="inlineStr">
        <is>
          <t>الموارد البشرية — العروض الوظيفية</t>
        </is>
      </c>
      <c r="C3" s="15" t="inlineStr">
        <is>
          <t>فترة التجربة 91 يومًا تعطي تحذيرًا لا خطأ</t>
        </is>
      </c>
      <c r="D3" s="14" t="inlineStr">
        <is>
          <t>عرض مسودة</t>
        </is>
      </c>
      <c r="E3" s="14" t="inlineStr">
        <is>
          <t>1. عدّل probationDays إلى 91
2. احفظ ثم افتح العرض</t>
        </is>
      </c>
      <c r="F3" s="14" t="inlineStr">
        <is>
          <t>يظهر تحذير probation_ext (المادة 53: يتطلب اتفاقًا مكتوبًا)، ويمكن إصدار العرض</t>
        </is>
      </c>
      <c r="G3" s="13" t="inlineStr">
        <is>
          <t>P1</t>
        </is>
      </c>
      <c r="H3" s="14" t="inlineStr">
        <is>
          <t>حالات حدّية</t>
        </is>
      </c>
      <c r="I3" s="13" t="inlineStr">
        <is>
          <t>لم يُختبر</t>
        </is>
      </c>
      <c r="J3" s="14" t="inlineStr"/>
      <c r="K3" s="13" t="inlineStr"/>
      <c r="L3" s="14" t="inlineStr"/>
    </row>
    <row r="4">
      <c r="A4" s="13" t="inlineStr">
        <is>
          <t>TC-D-003</t>
        </is>
      </c>
      <c r="B4" s="14" t="inlineStr">
        <is>
          <t>الموارد البشرية — العروض الوظيفية</t>
        </is>
      </c>
      <c r="C4" s="15" t="inlineStr">
        <is>
          <t>فترة التجربة 180 مسموحة و181 تمنع الإصدار</t>
        </is>
      </c>
      <c r="D4" s="14" t="inlineStr">
        <is>
          <t>عرض مسودة ومُصدِر آخر بصلاحية hr.approve</t>
        </is>
      </c>
      <c r="E4" s="14" t="inlineStr">
        <is>
          <t>1. اجعل التجربة 180 وأصدر العرض (يجب أن ينجح مع تحذير)
2. في عرض آخر اجعلها 181 وحاول الإصدار</t>
        </is>
      </c>
      <c r="F4" s="14" t="inlineStr">
        <is>
          <t>180: يُصدر مع تحذير. 181: رفض 400 «Probation cannot exceed 180 days (Art. 53)» ويبقى العرض مسودة</t>
        </is>
      </c>
      <c r="G4" s="13" t="inlineStr">
        <is>
          <t>P1</t>
        </is>
      </c>
      <c r="H4" s="14" t="inlineStr">
        <is>
          <t>حالات حدّية</t>
        </is>
      </c>
      <c r="I4" s="13" t="inlineStr">
        <is>
          <t>لم يُختبر</t>
        </is>
      </c>
      <c r="J4" s="14" t="inlineStr"/>
      <c r="K4" s="13" t="inlineStr"/>
      <c r="L4" s="14" t="inlineStr"/>
    </row>
    <row r="5">
      <c r="A5" s="13" t="inlineStr">
        <is>
          <t>TC-D-004</t>
        </is>
      </c>
      <c r="B5" s="14" t="inlineStr">
        <is>
          <t>الموارد البشرية — العروض الوظيفية</t>
        </is>
      </c>
      <c r="C5" s="15" t="inlineStr">
        <is>
          <t>ساعات العمل 48 مسموحة و49 خطأ</t>
        </is>
      </c>
      <c r="D5" s="14" t="inlineStr">
        <is>
          <t>عرض مسودة</t>
        </is>
      </c>
      <c r="E5" s="14" t="inlineStr">
        <is>
          <t>1. اجعل weeklyHours = 48 وتحقق من عدم وجود مشكلة
2. اجعلها 49 وحاول الإصدار</t>
        </is>
      </c>
      <c r="F5" s="14" t="inlineStr">
        <is>
          <t>49 ساعة تظهر كخطأ hours (المادة 98) وتمنع الإصدار</t>
        </is>
      </c>
      <c r="G5" s="13" t="inlineStr">
        <is>
          <t>P1</t>
        </is>
      </c>
      <c r="H5" s="14" t="inlineStr">
        <is>
          <t>حالات حدّية</t>
        </is>
      </c>
      <c r="I5" s="13" t="inlineStr">
        <is>
          <t>لم يُختبر</t>
        </is>
      </c>
      <c r="J5" s="14" t="inlineStr"/>
      <c r="K5" s="13" t="inlineStr"/>
      <c r="L5" s="14" t="inlineStr"/>
    </row>
    <row r="6">
      <c r="A6" s="13" t="inlineStr">
        <is>
          <t>TC-D-005</t>
        </is>
      </c>
      <c r="B6" s="14" t="inlineStr">
        <is>
          <t>الموارد البشرية — العروض الوظيفية</t>
        </is>
      </c>
      <c r="C6" s="15" t="inlineStr">
        <is>
          <t>الإجازة السنوية أقل من 21 يومًا تمنع الإصدار</t>
        </is>
      </c>
      <c r="D6" s="14" t="inlineStr">
        <is>
          <t>عرض مسودة</t>
        </is>
      </c>
      <c r="E6" s="14" t="inlineStr">
        <is>
          <t>1. اجعل annualLeaveDays = 20
2. حاول الإصدار من مستخدم hr.approve آخر</t>
        </is>
      </c>
      <c r="F6" s="14" t="inlineStr">
        <is>
          <t>رفض 400 «Annual leave must be at least 21 days (Art. 109)»؛ وبقيمة 21 يُقبل</t>
        </is>
      </c>
      <c r="G6" s="13" t="inlineStr">
        <is>
          <t>P1</t>
        </is>
      </c>
      <c r="H6" s="14" t="inlineStr">
        <is>
          <t>حالات حدّية</t>
        </is>
      </c>
      <c r="I6" s="13" t="inlineStr">
        <is>
          <t>لم يُختبر</t>
        </is>
      </c>
      <c r="J6" s="14" t="inlineStr"/>
      <c r="K6" s="13" t="inlineStr"/>
      <c r="L6" s="14" t="inlineStr"/>
    </row>
    <row r="7">
      <c r="A7" s="13" t="inlineStr">
        <is>
          <t>TC-D-006</t>
        </is>
      </c>
      <c r="B7" s="14" t="inlineStr">
        <is>
          <t>الموارد البشرية — العروض الوظيفية</t>
        </is>
      </c>
      <c r="C7" s="15" t="inlineStr">
        <is>
          <t>عقد محدد المدة بلا مدة بالأشهر</t>
        </is>
      </c>
      <c r="D7" s="14" t="inlineStr">
        <is>
          <t>عرض مسودة</t>
        </is>
      </c>
      <c r="E7" s="14" t="inlineStr">
        <is>
          <t>1. اختر contractType = fixed واترك durationMonths فارغًا
2. حاول الإصدار</t>
        </is>
      </c>
      <c r="F7" s="14" t="inlineStr">
        <is>
          <t>خطأ duration «حدد مدة العقد محدد المدة بالأشهر» ويمنع الإصدار</t>
        </is>
      </c>
      <c r="G7" s="13" t="inlineStr">
        <is>
          <t>P1</t>
        </is>
      </c>
      <c r="H7" s="14" t="inlineStr">
        <is>
          <t>تحقق من المدخلات</t>
        </is>
      </c>
      <c r="I7" s="13" t="inlineStr">
        <is>
          <t>لم يُختبر</t>
        </is>
      </c>
      <c r="J7" s="14" t="inlineStr"/>
      <c r="K7" s="13" t="inlineStr"/>
      <c r="L7" s="14" t="inlineStr"/>
    </row>
    <row r="8">
      <c r="A8" s="13" t="inlineStr">
        <is>
          <t>TC-D-007</t>
        </is>
      </c>
      <c r="B8" s="14" t="inlineStr">
        <is>
          <t>الموارد البشرية — العروض الوظيفية</t>
        </is>
      </c>
      <c r="C8" s="15" t="inlineStr">
        <is>
          <t>إصدار العرض من شخص ثانٍ</t>
        </is>
      </c>
      <c r="D8" s="14" t="inlineStr">
        <is>
          <t>مسودة أنشأها مستخدم A؛ مستخدم B لديه hr.approve</t>
        </is>
      </c>
      <c r="E8" s="14" t="inlineStr">
        <is>
          <t>1. سجّل كـ B وافتح العرض
2. اضغط إصدار</t>
        </is>
      </c>
      <c r="F8" s="14" t="inlineStr">
        <is>
          <t>تتحول الحالة إلى approved ويُسجل approvedByName ووقت الإصدار، ويظهر سجل تدقيق approve</t>
        </is>
      </c>
      <c r="G8" s="13" t="inlineStr">
        <is>
          <t>P1</t>
        </is>
      </c>
      <c r="H8" s="14" t="inlineStr">
        <is>
          <t>وظيفي</t>
        </is>
      </c>
      <c r="I8" s="13" t="inlineStr">
        <is>
          <t>لم يُختبر</t>
        </is>
      </c>
      <c r="J8" s="14" t="inlineStr"/>
      <c r="K8" s="13" t="inlineStr"/>
      <c r="L8" s="14" t="inlineStr"/>
    </row>
    <row r="9">
      <c r="A9" s="13" t="inlineStr">
        <is>
          <t>TC-D-008</t>
        </is>
      </c>
      <c r="B9" s="14" t="inlineStr">
        <is>
          <t>الموارد البشرية — العروض الوظيفية</t>
        </is>
      </c>
      <c r="C9" s="15" t="inlineStr">
        <is>
          <t>منع إصدار العرض من منشئه</t>
        </is>
      </c>
      <c r="D9" s="14" t="inlineStr">
        <is>
          <t>المستخدم A لديه hr.write وhr.approve وليس owner</t>
        </is>
      </c>
      <c r="E9" s="14" t="inlineStr">
        <is>
          <t>1. أنشئ عرضًا كـ A
2. حاول إصداره بنفسه</t>
        </is>
      </c>
      <c r="F9" s="14" t="inlineStr">
        <is>
          <t>رفض 403 «you cannot issue an offer you prepared — another approver must issue it»</t>
        </is>
      </c>
      <c r="G9" s="13" t="inlineStr">
        <is>
          <t>P1</t>
        </is>
      </c>
      <c r="H9" s="14" t="inlineStr">
        <is>
          <t>صلاحيات</t>
        </is>
      </c>
      <c r="I9" s="13" t="inlineStr">
        <is>
          <t>لم يُختبر</t>
        </is>
      </c>
      <c r="J9" s="14" t="inlineStr"/>
      <c r="K9" s="13" t="inlineStr"/>
      <c r="L9" s="14" t="inlineStr"/>
    </row>
    <row r="10">
      <c r="A10" s="13" t="inlineStr">
        <is>
          <t>TC-D-009</t>
        </is>
      </c>
      <c r="B10" s="14" t="inlineStr">
        <is>
          <t>الموارد البشرية — العروض الوظيفية</t>
        </is>
      </c>
      <c r="C10" s="15" t="inlineStr">
        <is>
          <t>مستخدم hr بلا hr.approve لا يرى زر الإصدار</t>
        </is>
      </c>
      <c r="D10" s="14" t="inlineStr">
        <is>
          <t>دور hr الافتراضي</t>
        </is>
      </c>
      <c r="E10" s="14" t="inlineStr">
        <is>
          <t>1. افتح عرضًا مسودة
2. حاول POST /api/hr/offers/:id/approve</t>
        </is>
      </c>
      <c r="F10" s="14" t="inlineStr">
        <is>
          <t>الزر غير ظاهر، والطلب المباشر يرجع 403</t>
        </is>
      </c>
      <c r="G10" s="13" t="inlineStr">
        <is>
          <t>P1</t>
        </is>
      </c>
      <c r="H10" s="14" t="inlineStr">
        <is>
          <t>صلاحيات</t>
        </is>
      </c>
      <c r="I10" s="13" t="inlineStr">
        <is>
          <t>لم يُختبر</t>
        </is>
      </c>
      <c r="J10" s="14" t="inlineStr"/>
      <c r="K10" s="13" t="inlineStr"/>
      <c r="L10" s="14" t="inlineStr"/>
    </row>
    <row r="11">
      <c r="A11" s="13" t="inlineStr">
        <is>
          <t>TC-D-010</t>
        </is>
      </c>
      <c r="B11" s="14" t="inlineStr">
        <is>
          <t>الموارد البشرية — العروض الوظيفية</t>
        </is>
      </c>
      <c r="C11" s="15" t="inlineStr">
        <is>
          <t>تعديل عرض بعد إصداره ممنوع</t>
        </is>
      </c>
      <c r="D11" s="14" t="inlineStr">
        <is>
          <t>عرض approved</t>
        </is>
      </c>
      <c r="E11" s="14" t="inlineStr">
        <is>
          <t>1. حاول PUT /api/hr/offers/:id</t>
        </is>
      </c>
      <c r="F11" s="14" t="inlineStr">
        <is>
          <t>رفض 409 «only draft offers can be edited»</t>
        </is>
      </c>
      <c r="G11" s="13" t="inlineStr">
        <is>
          <t>P1</t>
        </is>
      </c>
      <c r="H11" s="14" t="inlineStr">
        <is>
          <t>وظيفي</t>
        </is>
      </c>
      <c r="I11" s="13" t="inlineStr">
        <is>
          <t>لم يُختبر</t>
        </is>
      </c>
      <c r="J11" s="14" t="inlineStr"/>
      <c r="K11" s="13" t="inlineStr"/>
      <c r="L11" s="14" t="inlineStr"/>
    </row>
    <row r="12">
      <c r="A12" s="13" t="inlineStr">
        <is>
          <t>TC-D-011</t>
        </is>
      </c>
      <c r="B12" s="14" t="inlineStr">
        <is>
          <t>الموارد البشرية — العروض الوظيفية</t>
        </is>
      </c>
      <c r="C12" s="15" t="inlineStr">
        <is>
          <t>تسجيل قبول المرشح</t>
        </is>
      </c>
      <c r="D12" s="14" t="inlineStr">
        <is>
          <t>عرض approved</t>
        </is>
      </c>
      <c r="E12" s="14" t="inlineStr">
        <is>
          <t>1. اضغط تسجيل الرد → قبول مع تاريخ وملاحظة</t>
        </is>
      </c>
      <c r="F12" s="14" t="inlineStr">
        <is>
          <t>الحالة accepted مع respondedAt والملاحظة، وسجل تدقيق accept</t>
        </is>
      </c>
      <c r="G12" s="13" t="inlineStr">
        <is>
          <t>P1</t>
        </is>
      </c>
      <c r="H12" s="14" t="inlineStr">
        <is>
          <t>وظيفي</t>
        </is>
      </c>
      <c r="I12" s="13" t="inlineStr">
        <is>
          <t>لم يُختبر</t>
        </is>
      </c>
      <c r="J12" s="14" t="inlineStr"/>
      <c r="K12" s="13" t="inlineStr"/>
      <c r="L12" s="14" t="inlineStr"/>
    </row>
    <row r="13">
      <c r="A13" s="13" t="inlineStr">
        <is>
          <t>TC-D-012</t>
        </is>
      </c>
      <c r="B13" s="14" t="inlineStr">
        <is>
          <t>الموارد البشرية — العروض الوظيفية</t>
        </is>
      </c>
      <c r="C13" s="15" t="inlineStr">
        <is>
          <t>تحويل العرض المقبول إلى موظف مرة واحدة</t>
        </is>
      </c>
      <c r="D13" s="14" t="inlineStr">
        <is>
          <t>عرض accepted</t>
        </is>
      </c>
      <c r="E13" s="14" t="inlineStr">
        <is>
          <t>1. اضغط تعيين
2. تحقق من صفحة الموظف الجديد
3. اضغط تعيين مرة ثانية أو أرسل الطلب مرتين بالتوازي</t>
        </is>
      </c>
      <c r="F13" s="14" t="inlineStr">
        <is>
          <t>يُنشأ موظف واحد برقم EMP جديد بنفس بيانات العرض والراتب، ونسبة GOSI 9.75 للسعودي و0 لغيره؛ المحاولة الثانية ترفض ولا يتكرر الموظف</t>
        </is>
      </c>
      <c r="G13" s="13" t="inlineStr">
        <is>
          <t>P1</t>
        </is>
      </c>
      <c r="H13" s="14" t="inlineStr">
        <is>
          <t>وظيفي</t>
        </is>
      </c>
      <c r="I13" s="13" t="inlineStr">
        <is>
          <t>لم يُختبر</t>
        </is>
      </c>
      <c r="J13" s="14" t="inlineStr"/>
      <c r="K13" s="13" t="inlineStr"/>
      <c r="L13" s="14" t="inlineStr"/>
    </row>
    <row r="14">
      <c r="A14" s="13" t="inlineStr">
        <is>
          <t>TC-D-013</t>
        </is>
      </c>
      <c r="B14" s="14" t="inlineStr">
        <is>
          <t>الموارد البشرية — العروض الوظيفية</t>
        </is>
      </c>
      <c r="C14" s="15" t="inlineStr">
        <is>
          <t>PDF العرض الوظيفي بالعربية</t>
        </is>
      </c>
      <c r="D14" s="14" t="inlineStr">
        <is>
          <t>عرض approved وGotenberg يعمل</t>
        </is>
      </c>
      <c r="E14" s="14" t="inlineStr">
        <is>
          <t>1. اضغط تحميل PDF</t>
        </is>
      </c>
      <c r="F14" s="14" t="inlineStr">
        <is>
          <t>PDF RTL بخط عربي سليم، يحتوي الراتب والبدلات والإجمالي ومواد النظام والتوقيع، ولا يظهر «مسودة»؛ للمسودة يظهر علامة مسودة</t>
        </is>
      </c>
      <c r="G14" s="13" t="inlineStr">
        <is>
          <t>P1</t>
        </is>
      </c>
      <c r="H14" s="14" t="inlineStr">
        <is>
          <t>تكامل</t>
        </is>
      </c>
      <c r="I14" s="13" t="inlineStr">
        <is>
          <t>لم يُختبر</t>
        </is>
      </c>
      <c r="J14" s="14" t="inlineStr"/>
      <c r="K14" s="13" t="inlineStr"/>
      <c r="L14" s="14" t="inlineStr"/>
    </row>
    <row r="15">
      <c r="A15" s="13" t="inlineStr">
        <is>
          <t>TC-D-014</t>
        </is>
      </c>
      <c r="B15" s="14" t="inlineStr">
        <is>
          <t>الموارد البشرية — العروض الوظيفية</t>
        </is>
      </c>
      <c r="C15" s="15" t="inlineStr">
        <is>
          <t>حقن HTML في حقول العرض</t>
        </is>
      </c>
      <c r="D15" s="14" t="inlineStr">
        <is>
          <t>hr.write</t>
        </is>
      </c>
      <c r="E15" s="14" t="inlineStr">
        <is>
          <t>1. أدخل في termsAr ونص الاسم &lt;script&gt;alert(1)&lt;/script&gt; و&lt;img onerror&gt;
2. افتح الصفحة وPDF</t>
        </is>
      </c>
      <c r="F15" s="14" t="inlineStr">
        <is>
          <t>يظهر النص حرفيًا بعد الهروب في الصفحة وPDF، ولا ينفذ أي سكربت</t>
        </is>
      </c>
      <c r="G15" s="13" t="inlineStr">
        <is>
          <t>P1</t>
        </is>
      </c>
      <c r="H15" s="14" t="inlineStr">
        <is>
          <t>أمان</t>
        </is>
      </c>
      <c r="I15" s="13" t="inlineStr">
        <is>
          <t>لم يُختبر</t>
        </is>
      </c>
      <c r="J15" s="14" t="inlineStr"/>
      <c r="K15" s="13" t="inlineStr"/>
      <c r="L15" s="14" t="inlineStr"/>
    </row>
    <row r="16">
      <c r="A16" s="13" t="inlineStr">
        <is>
          <t>TC-D-015</t>
        </is>
      </c>
      <c r="B16" s="14" t="inlineStr">
        <is>
          <t>الموارد البشرية — العروض الوظيفية</t>
        </is>
      </c>
      <c r="C16" s="15" t="inlineStr">
        <is>
          <t>حقول إلزامية في العرض</t>
        </is>
      </c>
      <c r="D16" s="14" t="inlineStr">
        <is>
          <t>hr.write</t>
        </is>
      </c>
      <c r="E16" s="14" t="inlineStr">
        <is>
          <t>1. أرسل POST /api/hr/offers بدون candidateNameAr أو jobTitleAr أو basicSalary</t>
        </is>
      </c>
      <c r="F16" s="14" t="inlineStr">
        <is>
          <t>رفض 400 مع رسالة تحدد الحقل الناقص، ولا يُنشأ رقم عرض</t>
        </is>
      </c>
      <c r="G16" s="13" t="inlineStr">
        <is>
          <t>P2</t>
        </is>
      </c>
      <c r="H16" s="14" t="inlineStr">
        <is>
          <t>تحقق من المدخلات</t>
        </is>
      </c>
      <c r="I16" s="13" t="inlineStr">
        <is>
          <t>لم يُختبر</t>
        </is>
      </c>
      <c r="J16" s="14" t="inlineStr"/>
      <c r="K16" s="13" t="inlineStr"/>
      <c r="L16" s="14" t="inlineStr"/>
    </row>
    <row r="17">
      <c r="A17" s="13" t="inlineStr">
        <is>
          <t>TC-D-016</t>
        </is>
      </c>
      <c r="B17" s="14" t="inlineStr">
        <is>
          <t>الموارد البشرية — العروض الوظيفية</t>
        </is>
      </c>
      <c r="C17" s="15" t="inlineStr">
        <is>
          <t>فترة التجربة 90 يومًا بالضبط بلا تحذير</t>
        </is>
      </c>
      <c r="D17" s="14" t="inlineStr">
        <is>
          <t>عرض مسودة</t>
        </is>
      </c>
      <c r="E17" s="14" t="inlineStr">
        <is>
          <t>1. اجعل probationDays = 90</t>
        </is>
      </c>
      <c r="F17" s="14" t="inlineStr">
        <is>
          <t>لا يظهر أي تحذير متعلق بالتجربة</t>
        </is>
      </c>
      <c r="G17" s="13" t="inlineStr">
        <is>
          <t>P2</t>
        </is>
      </c>
      <c r="H17" s="14" t="inlineStr">
        <is>
          <t>حالات حدّية</t>
        </is>
      </c>
      <c r="I17" s="13" t="inlineStr">
        <is>
          <t>لم يُختبر</t>
        </is>
      </c>
      <c r="J17" s="14" t="inlineStr"/>
      <c r="K17" s="13" t="inlineStr"/>
      <c r="L17" s="14" t="inlineStr"/>
    </row>
    <row r="18">
      <c r="A18" s="13" t="inlineStr">
        <is>
          <t>TC-D-017</t>
        </is>
      </c>
      <c r="B18" s="14" t="inlineStr">
        <is>
          <t>الموارد البشرية — العروض الوظيفية</t>
        </is>
      </c>
      <c r="C18" s="15" t="inlineStr">
        <is>
          <t>مدة الإشعار أقل من 60 يومًا لعقد غير محدد المدة</t>
        </is>
      </c>
      <c r="D18" s="14" t="inlineStr">
        <is>
          <t>عرض unlimited</t>
        </is>
      </c>
      <c r="E18" s="14" t="inlineStr">
        <is>
          <t>1. اجعل noticeDays = 30
2. احفظ وافتح العرض</t>
        </is>
      </c>
      <c r="F18" s="14" t="inlineStr">
        <is>
          <t>تحذير notice (المادة 75) دون منع الإصدار</t>
        </is>
      </c>
      <c r="G18" s="13" t="inlineStr">
        <is>
          <t>P2</t>
        </is>
      </c>
      <c r="H18" s="14" t="inlineStr">
        <is>
          <t>وظيفي</t>
        </is>
      </c>
      <c r="I18" s="13" t="inlineStr">
        <is>
          <t>لم يُختبر</t>
        </is>
      </c>
      <c r="J18" s="14" t="inlineStr"/>
      <c r="K18" s="13" t="inlineStr"/>
      <c r="L18" s="14" t="inlineStr"/>
    </row>
    <row r="19">
      <c r="A19" s="13" t="inlineStr">
        <is>
          <t>TC-D-018</t>
        </is>
      </c>
      <c r="B19" s="14" t="inlineStr">
        <is>
          <t>الموارد البشرية — العروض الوظيفية</t>
        </is>
      </c>
      <c r="C19" s="15" t="inlineStr">
        <is>
          <t>تحذير عقد غير محدد المدة لغير السعودي</t>
        </is>
      </c>
      <c r="D19" s="14" t="inlineStr">
        <is>
          <t>عرض مسودة</t>
        </is>
      </c>
      <c r="E19" s="14" t="inlineStr">
        <is>
          <t>1. اجعل الجنسية «مصري» ونوع العقد unlimited
2. ثم غيّر الجنسية إلى «سعودي» ثم «SA» ثم «Saudi»</t>
        </is>
      </c>
      <c r="F19" s="14" t="inlineStr">
        <is>
          <t>مع «مصري» يظهر تحذير non_saudi_term (المادة 37)؛ يختفي مع سعودي/SA/Saudi/السعودية</t>
        </is>
      </c>
      <c r="G19" s="13" t="inlineStr">
        <is>
          <t>P2</t>
        </is>
      </c>
      <c r="H19" s="14" t="inlineStr">
        <is>
          <t>وظيفي</t>
        </is>
      </c>
      <c r="I19" s="13" t="inlineStr">
        <is>
          <t>لم يُختبر</t>
        </is>
      </c>
      <c r="J19" s="14" t="inlineStr"/>
      <c r="K19" s="13" t="inlineStr"/>
      <c r="L19" s="14" t="inlineStr"/>
    </row>
    <row r="20">
      <c r="A20" s="13" t="inlineStr">
        <is>
          <t>TC-D-019</t>
        </is>
      </c>
      <c r="B20" s="14" t="inlineStr">
        <is>
          <t>الموارد البشرية — العروض الوظيفية</t>
        </is>
      </c>
      <c r="C20" s="15" t="inlineStr">
        <is>
          <t>التجربة أطول من مدة العقد محدد المدة</t>
        </is>
      </c>
      <c r="D20" s="14" t="inlineStr">
        <is>
          <t>عرض fixed</t>
        </is>
      </c>
      <c r="E20" s="14" t="inlineStr">
        <is>
          <t>1. اجعل durationMonths = 2 والتجربة 90 يومًا
2. حاول الإصدار</t>
        </is>
      </c>
      <c r="F20" s="14" t="inlineStr">
        <is>
          <t>خطأ probation_term «فترة التجربة أطول من مدة العقد»</t>
        </is>
      </c>
      <c r="G20" s="13" t="inlineStr">
        <is>
          <t>P2</t>
        </is>
      </c>
      <c r="H20" s="14" t="inlineStr">
        <is>
          <t>حالات حدّية</t>
        </is>
      </c>
      <c r="I20" s="13" t="inlineStr">
        <is>
          <t>لم يُختبر</t>
        </is>
      </c>
      <c r="J20" s="14" t="inlineStr"/>
      <c r="K20" s="13" t="inlineStr"/>
      <c r="L20" s="14" t="inlineStr"/>
    </row>
    <row r="21">
      <c r="A21" s="13" t="inlineStr">
        <is>
          <t>TC-D-020</t>
        </is>
      </c>
      <c r="B21" s="14" t="inlineStr">
        <is>
          <t>الموارد البشرية — العروض الوظيفية</t>
        </is>
      </c>
      <c r="C21" s="15" t="inlineStr">
        <is>
          <t>تاريخ المباشرة قبل تاريخ العرض أو الصلاحية قبل تاريخ العرض</t>
        </is>
      </c>
      <c r="D21" s="14" t="inlineStr">
        <is>
          <t>عرض مسودة</t>
        </is>
      </c>
      <c r="E21" s="14" t="inlineStr">
        <is>
          <t>1. اجعل startDate قبل offerDate
2. ثم اجعل validUntil قبل offerDate</t>
        </is>
      </c>
      <c r="F21" s="14" t="inlineStr">
        <is>
          <t>خطأ start_date ثم valid_until؛ لا يمكن الإصدار</t>
        </is>
      </c>
      <c r="G21" s="13" t="inlineStr">
        <is>
          <t>P2</t>
        </is>
      </c>
      <c r="H21" s="14" t="inlineStr">
        <is>
          <t>تحقق من المدخلات</t>
        </is>
      </c>
      <c r="I21" s="13" t="inlineStr">
        <is>
          <t>لم يُختبر</t>
        </is>
      </c>
      <c r="J21" s="14" t="inlineStr"/>
      <c r="K21" s="13" t="inlineStr"/>
      <c r="L21" s="14" t="inlineStr"/>
    </row>
    <row r="22">
      <c r="A22" s="13" t="inlineStr">
        <is>
          <t>TC-D-021</t>
        </is>
      </c>
      <c r="B22" s="14" t="inlineStr">
        <is>
          <t>الموارد البشرية — العروض الوظيفية</t>
        </is>
      </c>
      <c r="C22" s="15" t="inlineStr">
        <is>
          <t>الراتب الأساسي صفر أو سالب</t>
        </is>
      </c>
      <c r="D22" s="14" t="inlineStr">
        <is>
          <t>hr.write</t>
        </is>
      </c>
      <c r="E22" s="14" t="inlineStr">
        <is>
          <t>1. أدخل basicSalary = 0 واحفظ
2. أدخل -100</t>
        </is>
      </c>
      <c r="F22" s="14" t="inlineStr">
        <is>
          <t>صفر: يُحفظ كمسودة لكن خطأ basic_salary يمنع الإصدار. السالب: رفض 400 must not be negative</t>
        </is>
      </c>
      <c r="G22" s="13" t="inlineStr">
        <is>
          <t>P2</t>
        </is>
      </c>
      <c r="H22" s="14" t="inlineStr">
        <is>
          <t>تحقق من المدخلات</t>
        </is>
      </c>
      <c r="I22" s="13" t="inlineStr">
        <is>
          <t>لم يُختبر</t>
        </is>
      </c>
      <c r="J22" s="14" t="inlineStr"/>
      <c r="K22" s="13" t="inlineStr"/>
      <c r="L22" s="14" t="inlineStr"/>
    </row>
    <row r="23">
      <c r="A23" s="13" t="inlineStr">
        <is>
          <t>TC-D-022</t>
        </is>
      </c>
      <c r="B23" s="14" t="inlineStr">
        <is>
          <t>الموارد البشرية — العروض الوظيفية</t>
        </is>
      </c>
      <c r="C23" s="15" t="inlineStr">
        <is>
          <t>المالك يستطيع إصدار عرضه بنفسه</t>
        </is>
      </c>
      <c r="D23" s="14" t="inlineStr">
        <is>
          <t>مستخدم owner</t>
        </is>
      </c>
      <c r="E23" s="14" t="inlineStr">
        <is>
          <t>1. أنشئ عرضًا كمالك
2. أصدره</t>
        </is>
      </c>
      <c r="F23" s="14" t="inlineStr">
        <is>
          <t>ينجح الإصدار (استثناء المالك)</t>
        </is>
      </c>
      <c r="G23" s="13" t="inlineStr">
        <is>
          <t>P2</t>
        </is>
      </c>
      <c r="H23" s="14" t="inlineStr">
        <is>
          <t>صلاحيات</t>
        </is>
      </c>
      <c r="I23" s="13" t="inlineStr">
        <is>
          <t>لم يُختبر</t>
        </is>
      </c>
      <c r="J23" s="14" t="inlineStr"/>
      <c r="K23" s="13" t="inlineStr"/>
      <c r="L23" s="14" t="inlineStr"/>
    </row>
    <row r="24">
      <c r="A24" s="13" t="inlineStr">
        <is>
          <t>TC-D-023</t>
        </is>
      </c>
      <c r="B24" s="14" t="inlineStr">
        <is>
          <t>الموارد البشرية — العروض الوظيفية</t>
        </is>
      </c>
      <c r="C24" s="15" t="inlineStr">
        <is>
          <t>تسجيل رفض المرشح</t>
        </is>
      </c>
      <c r="D24" s="14" t="inlineStr">
        <is>
          <t>عرض approved</t>
        </is>
      </c>
      <c r="E24" s="14" t="inlineStr">
        <is>
          <t>1. سجّل رفضًا مع ملاحظة</t>
        </is>
      </c>
      <c r="F24" s="14" t="inlineStr">
        <is>
          <t>الحالة rejected ولا يظهر زر تعيين</t>
        </is>
      </c>
      <c r="G24" s="13" t="inlineStr">
        <is>
          <t>P2</t>
        </is>
      </c>
      <c r="H24" s="14" t="inlineStr">
        <is>
          <t>وظيفي</t>
        </is>
      </c>
      <c r="I24" s="13" t="inlineStr">
        <is>
          <t>لم يُختبر</t>
        </is>
      </c>
      <c r="J24" s="14" t="inlineStr"/>
      <c r="K24" s="13" t="inlineStr"/>
      <c r="L24" s="14" t="inlineStr"/>
    </row>
    <row r="25">
      <c r="A25" s="13" t="inlineStr">
        <is>
          <t>TC-D-024</t>
        </is>
      </c>
      <c r="B25" s="14" t="inlineStr">
        <is>
          <t>الموارد البشرية — العروض الوظيفية</t>
        </is>
      </c>
      <c r="C25" s="15" t="inlineStr">
        <is>
          <t>تسجيل رد على مسودة غير مصدرة</t>
        </is>
      </c>
      <c r="D25" s="14" t="inlineStr">
        <is>
          <t>عرض draft</t>
        </is>
      </c>
      <c r="E25" s="14" t="inlineStr">
        <is>
          <t>1. حاول POST /respond</t>
        </is>
      </c>
      <c r="F25" s="14" t="inlineStr">
        <is>
          <t>رفض 409 «the offer has not been issued yet»</t>
        </is>
      </c>
      <c r="G25" s="13" t="inlineStr">
        <is>
          <t>P2</t>
        </is>
      </c>
      <c r="H25" s="14" t="inlineStr">
        <is>
          <t>وظيفي</t>
        </is>
      </c>
      <c r="I25" s="13" t="inlineStr">
        <is>
          <t>لم يُختبر</t>
        </is>
      </c>
      <c r="J25" s="14" t="inlineStr"/>
      <c r="K25" s="13" t="inlineStr"/>
      <c r="L25" s="14" t="inlineStr"/>
    </row>
    <row r="26">
      <c r="A26" s="13" t="inlineStr">
        <is>
          <t>TC-D-025</t>
        </is>
      </c>
      <c r="B26" s="14" t="inlineStr">
        <is>
          <t>الموارد البشرية — العروض الوظيفية</t>
        </is>
      </c>
      <c r="C26" s="15" t="inlineStr">
        <is>
          <t>انتهاء صلاحية العرض تلقائيًا بتوقيت الرياض</t>
        </is>
      </c>
      <c r="D26" s="14" t="inlineStr">
        <is>
          <t>عرض approved بـ validUntil = أمس (توقيت الرياض)</t>
        </is>
      </c>
      <c r="E26" s="14" t="inlineStr">
        <is>
          <t>1. افتح قائمة العروض وفلتر expired</t>
        </is>
      </c>
      <c r="F26" s="14" t="inlineStr">
        <is>
          <t>تظهر الحالة expired دون أي إجراء، وعرض صالح حتى اليوم يظهر approved حتى منتصف الليل بتوقيت الرياض</t>
        </is>
      </c>
      <c r="G26" s="13" t="inlineStr">
        <is>
          <t>P2</t>
        </is>
      </c>
      <c r="H26" s="14" t="inlineStr">
        <is>
          <t>حالات حدّية</t>
        </is>
      </c>
      <c r="I26" s="13" t="inlineStr">
        <is>
          <t>لم يُختبر</t>
        </is>
      </c>
      <c r="J26" s="14" t="inlineStr"/>
      <c r="K26" s="13" t="inlineStr"/>
      <c r="L26" s="14" t="inlineStr"/>
    </row>
    <row r="27">
      <c r="A27" s="13" t="inlineStr">
        <is>
          <t>TC-D-026</t>
        </is>
      </c>
      <c r="B27" s="14" t="inlineStr">
        <is>
          <t>الموارد البشرية — العروض الوظيفية</t>
        </is>
      </c>
      <c r="C27" s="15" t="inlineStr">
        <is>
          <t>سحب عرض مسودة أو مصدر</t>
        </is>
      </c>
      <c r="D27" s="14" t="inlineStr">
        <is>
          <t>عرض draft وآخر approved</t>
        </is>
      </c>
      <c r="E27" s="14" t="inlineStr">
        <is>
          <t>1. اسحب كلًا منهما مع سبب
2. حاول سحب عرض accepted</t>
        </is>
      </c>
      <c r="F27" s="14" t="inlineStr">
        <is>
          <t>الأول والثاني cancelled مع السبب؛ الثالث 409 «a accepted offer cannot be withdrawn»</t>
        </is>
      </c>
      <c r="G27" s="13" t="inlineStr">
        <is>
          <t>P2</t>
        </is>
      </c>
      <c r="H27" s="14" t="inlineStr">
        <is>
          <t>وظيفي</t>
        </is>
      </c>
      <c r="I27" s="13" t="inlineStr">
        <is>
          <t>لم يُختبر</t>
        </is>
      </c>
      <c r="J27" s="14" t="inlineStr"/>
      <c r="K27" s="13" t="inlineStr"/>
      <c r="L27" s="14" t="inlineStr"/>
    </row>
    <row r="28">
      <c r="A28" s="13" t="inlineStr">
        <is>
          <t>TC-D-027</t>
        </is>
      </c>
      <c r="B28" s="14" t="inlineStr">
        <is>
          <t>الموارد البشرية — العروض الوظيفية</t>
        </is>
      </c>
      <c r="C28" s="15" t="inlineStr">
        <is>
          <t>تعيين من عرض غير مقبول</t>
        </is>
      </c>
      <c r="D28" s="14" t="inlineStr">
        <is>
          <t>عرض approved أو rejected</t>
        </is>
      </c>
      <c r="E28" s="14" t="inlineStr">
        <is>
          <t>1. حاول POST /hire</t>
        </is>
      </c>
      <c r="F28" s="14" t="inlineStr">
        <is>
          <t>رفض 409 «only an accepted offer can be turned into an employee»</t>
        </is>
      </c>
      <c r="G28" s="13" t="inlineStr">
        <is>
          <t>P2</t>
        </is>
      </c>
      <c r="H28" s="14" t="inlineStr">
        <is>
          <t>وظيفي</t>
        </is>
      </c>
      <c r="I28" s="13" t="inlineStr">
        <is>
          <t>لم يُختبر</t>
        </is>
      </c>
      <c r="J28" s="14" t="inlineStr"/>
      <c r="K28" s="13" t="inlineStr"/>
      <c r="L28" s="14" t="inlineStr"/>
    </row>
    <row r="29">
      <c r="A29" s="13" t="inlineStr">
        <is>
          <t>TC-D-028</t>
        </is>
      </c>
      <c r="B29" s="14" t="inlineStr">
        <is>
          <t>الموارد البشرية — العروض الوظيفية</t>
        </is>
      </c>
      <c r="C29" s="15" t="inlineStr">
        <is>
          <t>التعديل المتزامن على العرض</t>
        </is>
      </c>
      <c r="D29" s="14" t="inlineStr">
        <is>
          <t>مستخدمان يفتحان نفس المسودة</t>
        </is>
      </c>
      <c r="E29" s="14" t="inlineStr">
        <is>
          <t>1. يحفظ الأول تعديلًا
2. يحفظ الثاني بالنسخة القديمة</t>
        </is>
      </c>
      <c r="F29" s="14" t="inlineStr">
        <is>
          <t>الثاني يرفض 409 (version) مع رسالة لإعادة التحميل</t>
        </is>
      </c>
      <c r="G29" s="13" t="inlineStr">
        <is>
          <t>P2</t>
        </is>
      </c>
      <c r="H29" s="14" t="inlineStr">
        <is>
          <t>حالات حدّية</t>
        </is>
      </c>
      <c r="I29" s="13" t="inlineStr">
        <is>
          <t>لم يُختبر</t>
        </is>
      </c>
      <c r="J29" s="14" t="inlineStr"/>
      <c r="K29" s="13" t="inlineStr"/>
      <c r="L29" s="14" t="inlineStr"/>
    </row>
    <row r="30">
      <c r="A30" s="13" t="inlineStr">
        <is>
          <t>TC-D-029</t>
        </is>
      </c>
      <c r="B30" s="14" t="inlineStr">
        <is>
          <t>الموارد البشرية — العروض الوظيفية</t>
        </is>
      </c>
      <c r="C30" s="15" t="inlineStr">
        <is>
          <t>البدلات الأخرى حتى 10 بنود</t>
        </is>
      </c>
      <c r="D30" s="14" t="inlineStr">
        <is>
          <t>hr.write</t>
        </is>
      </c>
      <c r="E30" s="14" t="inlineStr">
        <is>
          <t>1. أضف 10 بدلات أخرى بمبالغ مختلفة واحفظ
2. أضف البند 11</t>
        </is>
      </c>
      <c r="F30" s="14" t="inlineStr">
        <is>
          <t>10 تُقبل وتدخل في الإجمالي الشهري؛ 11 ترفض 400</t>
        </is>
      </c>
      <c r="G30" s="13" t="inlineStr">
        <is>
          <t>P3</t>
        </is>
      </c>
      <c r="H30" s="14" t="inlineStr">
        <is>
          <t>حالات حدّية</t>
        </is>
      </c>
      <c r="I30" s="13" t="inlineStr">
        <is>
          <t>لم يُختبر</t>
        </is>
      </c>
      <c r="J30" s="14" t="inlineStr"/>
      <c r="K30" s="13" t="inlineStr"/>
      <c r="L30" s="14" t="inlineStr"/>
    </row>
    <row r="31">
      <c r="A31" s="13" t="inlineStr">
        <is>
          <t>TC-D-030</t>
        </is>
      </c>
      <c r="B31" s="14" t="inlineStr">
        <is>
          <t>الموارد البشرية — الموظفون</t>
        </is>
      </c>
      <c r="C31" s="15" t="inlineStr">
        <is>
          <t>إضافة موظف يدويًا</t>
        </is>
      </c>
      <c r="D31" s="14" t="inlineStr">
        <is>
          <t>hr.write</t>
        </is>
      </c>
      <c r="E31" s="14" t="inlineStr">
        <is>
          <t>1. افتح /hr/employees ← جديد
2. أدخل الاسم والمسمى وتاريخ التعيين والراتب واحفظ</t>
        </is>
      </c>
      <c r="F31" s="14" t="inlineStr">
        <is>
          <t>يُنشأ موظف active برقم تسلسلي، ويظهر في القائمة وفي إجمالي الرواتب الشهرية</t>
        </is>
      </c>
      <c r="G31" s="13" t="inlineStr">
        <is>
          <t>P1</t>
        </is>
      </c>
      <c r="H31" s="14" t="inlineStr">
        <is>
          <t>وظيفي</t>
        </is>
      </c>
      <c r="I31" s="13" t="inlineStr">
        <is>
          <t>لم يُختبر</t>
        </is>
      </c>
      <c r="J31" s="14" t="inlineStr"/>
      <c r="K31" s="13" t="inlineStr"/>
      <c r="L31" s="14" t="inlineStr"/>
    </row>
    <row r="32">
      <c r="A32" s="13" t="inlineStr">
        <is>
          <t>TC-D-031</t>
        </is>
      </c>
      <c r="B32" s="14" t="inlineStr">
        <is>
          <t>الموارد البشرية — الموظفون</t>
        </is>
      </c>
      <c r="C32" s="15" t="inlineStr">
        <is>
          <t>رقم هوية وطنية صحيح يقبل</t>
        </is>
      </c>
      <c r="D32" s="14" t="inlineStr">
        <is>
          <t>hr.write</t>
        </is>
      </c>
      <c r="E32" s="14" t="inlineStr">
        <is>
          <t>1. اختر idType = national_id وأدخل رقمًا صالحًا يبدأ بـ 1 (مثل 1000000008)
2. احفظ</t>
        </is>
      </c>
      <c r="F32" s="14" t="inlineStr">
        <is>
          <t>يُحفظ دون خطأ</t>
        </is>
      </c>
      <c r="G32" s="13" t="inlineStr">
        <is>
          <t>P1</t>
        </is>
      </c>
      <c r="H32" s="14" t="inlineStr">
        <is>
          <t>تحقق من المدخلات</t>
        </is>
      </c>
      <c r="I32" s="13" t="inlineStr">
        <is>
          <t>لم يُختبر</t>
        </is>
      </c>
      <c r="J32" s="14" t="inlineStr"/>
      <c r="K32" s="13" t="inlineStr"/>
      <c r="L32" s="14" t="inlineStr"/>
    </row>
    <row r="33">
      <c r="A33" s="13" t="inlineStr">
        <is>
          <t>TC-D-032</t>
        </is>
      </c>
      <c r="B33" s="14" t="inlineStr">
        <is>
          <t>الموارد البشرية — الموظفون</t>
        </is>
      </c>
      <c r="C33" s="15" t="inlineStr">
        <is>
          <t>خانة التحقق في الهوية/الإقامة خاطئة</t>
        </is>
      </c>
      <c r="D33" s="14" t="inlineStr">
        <is>
          <t>hr.write</t>
        </is>
      </c>
      <c r="E33" s="14" t="inlineStr">
        <is>
          <t>1. أدخل رقم هوية 10 أرقام يبدأ بـ 1 مع آخر خانة خاطئة
2. احفظ</t>
        </is>
      </c>
      <c r="F33" s="14" t="inlineStr">
        <is>
          <t>رفض 400 «the ID / iqama number is not valid»</t>
        </is>
      </c>
      <c r="G33" s="13" t="inlineStr">
        <is>
          <t>P1</t>
        </is>
      </c>
      <c r="H33" s="14" t="inlineStr">
        <is>
          <t>تحقق من المدخلات</t>
        </is>
      </c>
      <c r="I33" s="13" t="inlineStr">
        <is>
          <t>لم يُختبر</t>
        </is>
      </c>
      <c r="J33" s="14" t="inlineStr"/>
      <c r="K33" s="13" t="inlineStr"/>
      <c r="L33" s="14" t="inlineStr"/>
    </row>
    <row r="34">
      <c r="A34" s="13" t="inlineStr">
        <is>
          <t>TC-D-033</t>
        </is>
      </c>
      <c r="B34" s="14" t="inlineStr">
        <is>
          <t>الموارد البشرية — الموظفون</t>
        </is>
      </c>
      <c r="C34" s="15" t="inlineStr">
        <is>
          <t>تحقق صيغة IBAN</t>
        </is>
      </c>
      <c r="D34" s="14" t="inlineStr">
        <is>
          <t>hr.write</t>
        </is>
      </c>
      <c r="E34" s="14" t="inlineStr">
        <is>
          <t>1. أدخل sa0380000000608010167519 بحروف صغيرة
2. أدخل SA + 21 رقمًا
3. أدخل IBAN غير سعودي GB...</t>
        </is>
      </c>
      <c r="F34" s="14" t="inlineStr">
        <is>
          <t>الأول يُقبل ويُخزن بأحرف كبيرة؛ الآخران رفض 400 «IBAN must be SA + 22 digits»</t>
        </is>
      </c>
      <c r="G34" s="13" t="inlineStr">
        <is>
          <t>P1</t>
        </is>
      </c>
      <c r="H34" s="14" t="inlineStr">
        <is>
          <t>تحقق من المدخلات</t>
        </is>
      </c>
      <c r="I34" s="13" t="inlineStr">
        <is>
          <t>لم يُختبر</t>
        </is>
      </c>
      <c r="J34" s="14" t="inlineStr"/>
      <c r="K34" s="13" t="inlineStr"/>
      <c r="L34" s="14" t="inlineStr"/>
    </row>
    <row r="35">
      <c r="A35" s="13" t="inlineStr">
        <is>
          <t>TC-D-034</t>
        </is>
      </c>
      <c r="B35" s="14" t="inlineStr">
        <is>
          <t>الموارد البشرية — الموظفون</t>
        </is>
      </c>
      <c r="C35" s="15" t="inlineStr">
        <is>
          <t>ربط موظف بمدير</t>
        </is>
      </c>
      <c r="D35" s="14" t="inlineStr">
        <is>
          <t>موظفان</t>
        </is>
      </c>
      <c r="E35" s="14" t="inlineStr">
        <is>
          <t>1. عيّن managerId للموظف B = A
2. افتح /hr/me للمدير A</t>
        </is>
      </c>
      <c r="F35" s="14" t="inlineStr">
        <is>
          <t>يظهر المدير في بطاقة B، وطلبات B المعلقة تظهر للمدير في teamPending</t>
        </is>
      </c>
      <c r="G35" s="13" t="inlineStr">
        <is>
          <t>P1</t>
        </is>
      </c>
      <c r="H35" s="14" t="inlineStr">
        <is>
          <t>وظيفي</t>
        </is>
      </c>
      <c r="I35" s="13" t="inlineStr">
        <is>
          <t>لم يُختبر</t>
        </is>
      </c>
      <c r="J35" s="14" t="inlineStr"/>
      <c r="K35" s="13" t="inlineStr"/>
      <c r="L35" s="14" t="inlineStr"/>
    </row>
    <row r="36">
      <c r="A36" s="13" t="inlineStr">
        <is>
          <t>TC-D-035</t>
        </is>
      </c>
      <c r="B36" s="14" t="inlineStr">
        <is>
          <t>الموارد البشرية — الموظفون</t>
        </is>
      </c>
      <c r="C36" s="15" t="inlineStr">
        <is>
          <t>ربط حساب دخول بموظفين اثنين ممنوع</t>
        </is>
      </c>
      <c r="D36" s="14" t="inlineStr">
        <is>
          <t>مستخدم مرتبط بموظف EMP-1</t>
        </is>
      </c>
      <c r="E36" s="14" t="inlineStr">
        <is>
          <t>1. اربط نفس userId بموظف آخر</t>
        </is>
      </c>
      <c r="F36" s="14" t="inlineStr">
        <is>
          <t>رفض 409 «that login is already linked to employee EMP-1»</t>
        </is>
      </c>
      <c r="G36" s="13" t="inlineStr">
        <is>
          <t>P1</t>
        </is>
      </c>
      <c r="H36" s="14" t="inlineStr">
        <is>
          <t>تحقق من المدخلات</t>
        </is>
      </c>
      <c r="I36" s="13" t="inlineStr">
        <is>
          <t>لم يُختبر</t>
        </is>
      </c>
      <c r="J36" s="14" t="inlineStr"/>
      <c r="K36" s="13" t="inlineStr"/>
      <c r="L36" s="14" t="inlineStr"/>
    </row>
    <row r="37">
      <c r="A37" s="13" t="inlineStr">
        <is>
          <t>TC-D-036</t>
        </is>
      </c>
      <c r="B37" s="14" t="inlineStr">
        <is>
          <t>الموارد البشرية — الموظفون</t>
        </is>
      </c>
      <c r="C37" s="15" t="inlineStr">
        <is>
          <t>إنهاء خدمة يتطلب آخر يوم عمل وسببًا</t>
        </is>
      </c>
      <c r="D37" s="14" t="inlineStr">
        <is>
          <t>موظف active</t>
        </is>
      </c>
      <c r="E37" s="14" t="inlineStr">
        <is>
          <t>1. أنهِ الخدمة دون تاريخ
2. أنهِ بتاريخ قبل تاريخ التعيين
3. أنهِ بتاريخ صحيح وسبب</t>
        </is>
      </c>
      <c r="F37" s="14" t="inlineStr">
        <is>
          <t>1: 400؛ 2: 400 «the last working day is before the hire date»؛ 3: terminated مع terminationDate وسجل تدقيق terminate</t>
        </is>
      </c>
      <c r="G37" s="13" t="inlineStr">
        <is>
          <t>P1</t>
        </is>
      </c>
      <c r="H37" s="14" t="inlineStr">
        <is>
          <t>وظيفي</t>
        </is>
      </c>
      <c r="I37" s="13" t="inlineStr">
        <is>
          <t>لم يُختبر</t>
        </is>
      </c>
      <c r="J37" s="14" t="inlineStr"/>
      <c r="K37" s="13" t="inlineStr"/>
      <c r="L37" s="14" t="inlineStr"/>
    </row>
    <row r="38">
      <c r="A38" s="13" t="inlineStr">
        <is>
          <t>TC-D-037</t>
        </is>
      </c>
      <c r="B38" s="14" t="inlineStr">
        <is>
          <t>الموارد البشرية — الموظفون</t>
        </is>
      </c>
      <c r="C38" s="15" t="inlineStr">
        <is>
          <t>الموظف المنتهية خدمته للقراءة فقط</t>
        </is>
      </c>
      <c r="D38" s="14" t="inlineStr">
        <is>
          <t>موظف terminated</t>
        </is>
      </c>
      <c r="E38" s="14" t="inlineStr">
        <is>
          <t>1. حاول تعديل بياناته
2. أعد تفعيله active ثم عدّل</t>
        </is>
      </c>
      <c r="F38" s="14" t="inlineStr">
        <is>
          <t>التعديل 409 «a terminated employee is read-only — reinstate them first»؛ بعد إعادة التفعيل تُمسح terminationDate ويُسمح بالتعديل</t>
        </is>
      </c>
      <c r="G38" s="13" t="inlineStr">
        <is>
          <t>P1</t>
        </is>
      </c>
      <c r="H38" s="14" t="inlineStr">
        <is>
          <t>وظيفي</t>
        </is>
      </c>
      <c r="I38" s="13" t="inlineStr">
        <is>
          <t>لم يُختبر</t>
        </is>
      </c>
      <c r="J38" s="14" t="inlineStr"/>
      <c r="K38" s="13" t="inlineStr"/>
      <c r="L38" s="14" t="inlineStr"/>
    </row>
    <row r="39">
      <c r="A39" s="13" t="inlineStr">
        <is>
          <t>TC-D-038</t>
        </is>
      </c>
      <c r="B39" s="14" t="inlineStr">
        <is>
          <t>الموارد البشرية — الموظفون</t>
        </is>
      </c>
      <c r="C39" s="15" t="inlineStr">
        <is>
          <t>الرواتب لا تظهر لمن لا يملك hr.read</t>
        </is>
      </c>
      <c r="D39" s="14" t="inlineStr">
        <is>
          <t>مستخدم مبيعات بلا hr.*</t>
        </is>
      </c>
      <c r="E39" s="14" t="inlineStr">
        <is>
          <t>1. حاول فتح /hr/employees و GET /api/hr/employees/:id</t>
        </is>
      </c>
      <c r="F39" s="14" t="inlineStr">
        <is>
          <t>لا تظهر قائمة الموارد البشرية في القائمة الجانبية، والطلب المباشر 403؛ لا تتسرب الرواتب عبر أي API آخر</t>
        </is>
      </c>
      <c r="G39" s="13" t="inlineStr">
        <is>
          <t>P1</t>
        </is>
      </c>
      <c r="H39" s="14" t="inlineStr">
        <is>
          <t>صلاحيات</t>
        </is>
      </c>
      <c r="I39" s="13" t="inlineStr">
        <is>
          <t>لم يُختبر</t>
        </is>
      </c>
      <c r="J39" s="14" t="inlineStr"/>
      <c r="K39" s="13" t="inlineStr"/>
      <c r="L39" s="14" t="inlineStr"/>
    </row>
    <row r="40">
      <c r="A40" s="13" t="inlineStr">
        <is>
          <t>TC-D-039</t>
        </is>
      </c>
      <c r="B40" s="14" t="inlineStr">
        <is>
          <t>الموارد البشرية — الموظفون</t>
        </is>
      </c>
      <c r="C40" s="15" t="inlineStr">
        <is>
          <t>نوع الهوية لا يطابق أول رقم</t>
        </is>
      </c>
      <c r="D40" s="14" t="inlineStr">
        <is>
          <t>hr.write</t>
        </is>
      </c>
      <c r="E40" s="14" t="inlineStr">
        <is>
          <t>1. اختر iqama وأدخل رقمًا صالحًا يبدأ بـ 1
2. ثم national_id برقم صالح يبدأ بـ 2</t>
        </is>
      </c>
      <c r="F40" s="14" t="inlineStr">
        <is>
          <t>«an iqama number starts with 2» ثم «a national ID number starts with 1»</t>
        </is>
      </c>
      <c r="G40" s="13" t="inlineStr">
        <is>
          <t>P2</t>
        </is>
      </c>
      <c r="H40" s="14" t="inlineStr">
        <is>
          <t>تحقق من المدخلات</t>
        </is>
      </c>
      <c r="I40" s="13" t="inlineStr">
        <is>
          <t>لم يُختبر</t>
        </is>
      </c>
      <c r="J40" s="14" t="inlineStr"/>
      <c r="K40" s="13" t="inlineStr"/>
      <c r="L40" s="14" t="inlineStr"/>
    </row>
    <row r="41">
      <c r="A41" s="13" t="inlineStr">
        <is>
          <t>TC-D-040</t>
        </is>
      </c>
      <c r="B41" s="14" t="inlineStr">
        <is>
          <t>الموارد البشرية — الموظفون</t>
        </is>
      </c>
      <c r="C41" s="15" t="inlineStr">
        <is>
          <t>نسبة GOSI الافتراضية والمخصصة</t>
        </is>
      </c>
      <c r="D41" s="14" t="inlineStr">
        <is>
          <t>hr.write</t>
        </is>
      </c>
      <c r="E41" s="14" t="inlineStr">
        <is>
          <t>1. أضف موظفًا سعوديًا دون نسبة GOSI
2. أضف غير سعودي
3. أدخل 31 أو 9.755</t>
        </is>
      </c>
      <c r="F41" s="14" t="inlineStr">
        <is>
          <t>السعودي 9.75 وغيره 0؛ 31 و9.755 ترفض invalid percent</t>
        </is>
      </c>
      <c r="G41" s="13" t="inlineStr">
        <is>
          <t>P2</t>
        </is>
      </c>
      <c r="H41" s="14" t="inlineStr">
        <is>
          <t>حالات حدّية</t>
        </is>
      </c>
      <c r="I41" s="13" t="inlineStr">
        <is>
          <t>لم يُختبر</t>
        </is>
      </c>
      <c r="J41" s="14" t="inlineStr"/>
      <c r="K41" s="13" t="inlineStr"/>
      <c r="L41" s="14" t="inlineStr"/>
    </row>
    <row r="42">
      <c r="A42" s="13" t="inlineStr">
        <is>
          <t>TC-D-041</t>
        </is>
      </c>
      <c r="B42" s="14" t="inlineStr">
        <is>
          <t>الموارد البشرية — الموظفون</t>
        </is>
      </c>
      <c r="C42" s="15" t="inlineStr">
        <is>
          <t>إيقاف موظف يتطلب سببًا</t>
        </is>
      </c>
      <c r="D42" s="14" t="inlineStr">
        <is>
          <t>موظف active</t>
        </is>
      </c>
      <c r="E42" s="14" t="inlineStr">
        <is>
          <t>1. اختر إيقاف دون سبب
2. ثم مع سبب</t>
        </is>
      </c>
      <c r="F42" s="14" t="inlineStr">
        <is>
          <t>الأول 400 «a reason is required»؛ الثاني suspended مع سجل تدقيق</t>
        </is>
      </c>
      <c r="G42" s="13" t="inlineStr">
        <is>
          <t>P2</t>
        </is>
      </c>
      <c r="H42" s="14" t="inlineStr">
        <is>
          <t>وظيفي</t>
        </is>
      </c>
      <c r="I42" s="13" t="inlineStr">
        <is>
          <t>لم يُختبر</t>
        </is>
      </c>
      <c r="J42" s="14" t="inlineStr"/>
      <c r="K42" s="13" t="inlineStr"/>
      <c r="L42" s="14" t="inlineStr"/>
    </row>
    <row r="43">
      <c r="A43" s="13" t="inlineStr">
        <is>
          <t>TC-D-042</t>
        </is>
      </c>
      <c r="B43" s="14" t="inlineStr">
        <is>
          <t>الموارد البشرية — الموظفون</t>
        </is>
      </c>
      <c r="C43" s="15" t="inlineStr">
        <is>
          <t>تنبيهات انتهاء الإقامة والعقد</t>
        </is>
      </c>
      <c r="D43" s="14" t="inlineStr">
        <is>
          <t>موظف idExpiry بعد 20 يومًا وآخر contractEndDate بعد 10 أيام وثالث terminated بإقامة منتهية</t>
        </is>
      </c>
      <c r="E43" s="14" t="inlineStr">
        <is>
          <t>1. افتح /hr/employees ولاحظ الملخص</t>
        </is>
      </c>
      <c r="F43" s="14" t="inlineStr">
        <is>
          <t>العدّادان idExpiring وcontractEnding يحسبان الأولين فقط ولا يُحسب المنتهية خدمته</t>
        </is>
      </c>
      <c r="G43" s="13" t="inlineStr">
        <is>
          <t>P2</t>
        </is>
      </c>
      <c r="H43" s="14" t="inlineStr">
        <is>
          <t>وظيفي</t>
        </is>
      </c>
      <c r="I43" s="13" t="inlineStr">
        <is>
          <t>لم يُختبر</t>
        </is>
      </c>
      <c r="J43" s="14" t="inlineStr"/>
      <c r="K43" s="13" t="inlineStr"/>
      <c r="L43" s="14" t="inlineStr"/>
    </row>
    <row r="44">
      <c r="A44" s="13" t="inlineStr">
        <is>
          <t>TC-D-043</t>
        </is>
      </c>
      <c r="B44" s="14" t="inlineStr">
        <is>
          <t>الموارد البشرية — الموظفون</t>
        </is>
      </c>
      <c r="C44" s="15" t="inlineStr">
        <is>
          <t>جواز السفر نص حر</t>
        </is>
      </c>
      <c r="D44" s="14" t="inlineStr">
        <is>
          <t>hr.write</t>
        </is>
      </c>
      <c r="E44" s="14" t="inlineStr">
        <is>
          <t>1. اختر passport وأدخل A1234567</t>
        </is>
      </c>
      <c r="F44" s="14" t="inlineStr">
        <is>
          <t>يُقبل دون تحقق من خانة</t>
        </is>
      </c>
      <c r="G44" s="13" t="inlineStr">
        <is>
          <t>P3</t>
        </is>
      </c>
      <c r="H44" s="14" t="inlineStr">
        <is>
          <t>تحقق من المدخلات</t>
        </is>
      </c>
      <c r="I44" s="13" t="inlineStr">
        <is>
          <t>لم يُختبر</t>
        </is>
      </c>
      <c r="J44" s="14" t="inlineStr"/>
      <c r="K44" s="13" t="inlineStr"/>
      <c r="L44" s="14" t="inlineStr"/>
    </row>
    <row r="45">
      <c r="A45" s="13" t="inlineStr">
        <is>
          <t>TC-D-044</t>
        </is>
      </c>
      <c r="B45" s="14" t="inlineStr">
        <is>
          <t>الموارد البشرية — الموظفون</t>
        </is>
      </c>
      <c r="C45" s="15" t="inlineStr">
        <is>
          <t>ربط userId غير موجود</t>
        </is>
      </c>
      <c r="D45" s="14" t="inlineStr">
        <is>
          <t>hr.write</t>
        </is>
      </c>
      <c r="E45" s="14" t="inlineStr">
        <is>
          <t>1. أرسل userId بـ UUID عشوائي</t>
        </is>
      </c>
      <c r="F45" s="14" t="inlineStr">
        <is>
          <t>رفض 400 «unknown user»</t>
        </is>
      </c>
      <c r="G45" s="13" t="inlineStr">
        <is>
          <t>P3</t>
        </is>
      </c>
      <c r="H45" s="14" t="inlineStr">
        <is>
          <t>تحقق من المدخلات</t>
        </is>
      </c>
      <c r="I45" s="13" t="inlineStr">
        <is>
          <t>لم يُختبر</t>
        </is>
      </c>
      <c r="J45" s="14" t="inlineStr"/>
      <c r="K45" s="13" t="inlineStr"/>
      <c r="L45" s="14" t="inlineStr"/>
    </row>
    <row r="46">
      <c r="A46" s="13" t="inlineStr">
        <is>
          <t>TC-D-045</t>
        </is>
      </c>
      <c r="B46" s="14" t="inlineStr">
        <is>
          <t>الموارد البشرية — الموظفون</t>
        </is>
      </c>
      <c r="C46" s="15" t="inlineStr">
        <is>
          <t>تغيير الحالة لنفس الحالة</t>
        </is>
      </c>
      <c r="D46" s="14" t="inlineStr">
        <is>
          <t>موظف active</t>
        </is>
      </c>
      <c r="E46" s="14" t="inlineStr">
        <is>
          <t>1. أرسل status = active</t>
        </is>
      </c>
      <c r="F46" s="14" t="inlineStr">
        <is>
          <t>رفض 409 «the employee is already active»</t>
        </is>
      </c>
      <c r="G46" s="13" t="inlineStr">
        <is>
          <t>P3</t>
        </is>
      </c>
      <c r="H46" s="14" t="inlineStr">
        <is>
          <t>حالات حدّية</t>
        </is>
      </c>
      <c r="I46" s="13" t="inlineStr">
        <is>
          <t>لم يُختبر</t>
        </is>
      </c>
      <c r="J46" s="14" t="inlineStr"/>
      <c r="K46" s="13" t="inlineStr"/>
      <c r="L46" s="14" t="inlineStr"/>
    </row>
    <row r="47">
      <c r="A47" s="13" t="inlineStr">
        <is>
          <t>TC-D-046</t>
        </is>
      </c>
      <c r="B47" s="14" t="inlineStr">
        <is>
          <t>الموارد البشرية — الموظفون</t>
        </is>
      </c>
      <c r="C47" s="15" t="inlineStr">
        <is>
          <t>فلاتر قائمة الموظفين والبحث</t>
        </is>
      </c>
      <c r="D47" s="14" t="inlineStr">
        <is>
          <t>20 موظفًا بأقسام وحالات مختلفة</t>
        </is>
      </c>
      <c r="E47" s="14" t="inlineStr">
        <is>
          <t>1. فلتر حسب الحالة ثم القسم
2. ابحث بالاسم أو الرقم</t>
        </is>
      </c>
      <c r="F47" s="14" t="inlineStr">
        <is>
          <t>النتائج صحيحة والترقيم (pagination) يعمل</t>
        </is>
      </c>
      <c r="G47" s="13" t="inlineStr">
        <is>
          <t>P3</t>
        </is>
      </c>
      <c r="H47" s="14" t="inlineStr">
        <is>
          <t>واجهة وعرض</t>
        </is>
      </c>
      <c r="I47" s="13" t="inlineStr">
        <is>
          <t>لم يُختبر</t>
        </is>
      </c>
      <c r="J47" s="14" t="inlineStr"/>
      <c r="K47" s="13" t="inlineStr"/>
      <c r="L47" s="14" t="inlineStr"/>
    </row>
    <row r="48">
      <c r="A48" s="13" t="inlineStr">
        <is>
          <t>TC-D-047</t>
        </is>
      </c>
      <c r="B48" s="14" t="inlineStr">
        <is>
          <t>الموارد البشرية — الموظفون</t>
        </is>
      </c>
      <c r="C48" s="15" t="inlineStr">
        <is>
          <t>عرض الموظف على الجوال RTL</t>
        </is>
      </c>
      <c r="D48" s="14" t="inlineStr">
        <is>
          <t>hr.read وعرض 375px</t>
        </is>
      </c>
      <c r="E48" s="14" t="inlineStr">
        <is>
          <t>1. افتح صفحة موظف</t>
        </is>
      </c>
      <c r="F48" s="14" t="inlineStr">
        <is>
          <t>لا تمرير أفقي، الحقول تلتف بشكل صحيح، الأرقام والـ IBAN تظهر LTR داخل نص RTL</t>
        </is>
      </c>
      <c r="G48" s="13" t="inlineStr">
        <is>
          <t>P3</t>
        </is>
      </c>
      <c r="H48" s="14" t="inlineStr">
        <is>
          <t>واجهة وعرض</t>
        </is>
      </c>
      <c r="I48" s="13" t="inlineStr">
        <is>
          <t>لم يُختبر</t>
        </is>
      </c>
      <c r="J48" s="14" t="inlineStr"/>
      <c r="K48" s="13" t="inlineStr"/>
      <c r="L48" s="14" t="inlineStr"/>
    </row>
    <row r="49">
      <c r="A49" s="13" t="inlineStr">
        <is>
          <t>TC-D-048</t>
        </is>
      </c>
      <c r="B49" s="14" t="inlineStr">
        <is>
          <t>الموارد البشرية — الإجازات</t>
        </is>
      </c>
      <c r="C49" s="15" t="inlineStr">
        <is>
          <t>طلب إجازة سنوية ذاتيًا من /hr/me</t>
        </is>
      </c>
      <c r="D49" s="14" t="inlineStr">
        <is>
          <t>موظف مرتبط بحساب دخول ورصيده المستحق 10 أيام</t>
        </is>
      </c>
      <c r="E49" s="14" t="inlineStr">
        <is>
          <t>1. افتح /hr/me
2. اطلب إجازة سنوية 5 أيام</t>
        </is>
      </c>
      <c r="F49" s="14" t="inlineStr">
        <is>
          <t>يُنشأ طلب pending برقم، ويظهر الرصيد: المتاح ينقص بالمعلق، ويصل إشعار للمدير المباشر ولحاملي hr.approve</t>
        </is>
      </c>
      <c r="G49" s="13" t="inlineStr">
        <is>
          <t>P1</t>
        </is>
      </c>
      <c r="H49" s="14" t="inlineStr">
        <is>
          <t>وظيفي</t>
        </is>
      </c>
      <c r="I49" s="13" t="inlineStr">
        <is>
          <t>لم يُختبر</t>
        </is>
      </c>
      <c r="J49" s="14" t="inlineStr"/>
      <c r="K49" s="13" t="inlineStr"/>
      <c r="L49" s="14" t="inlineStr"/>
    </row>
    <row r="50">
      <c r="A50" s="13" t="inlineStr">
        <is>
          <t>TC-D-049</t>
        </is>
      </c>
      <c r="B50" s="14" t="inlineStr">
        <is>
          <t>الموارد البشرية — الإجازات</t>
        </is>
      </c>
      <c r="C50" s="15" t="inlineStr">
        <is>
          <t>طلب أكثر من الرصيد المستحق</t>
        </is>
      </c>
      <c r="D50" s="14" t="inlineStr">
        <is>
          <t>رصيد مستحق 3.5 يوم حتى تاريخ النهاية</t>
        </is>
      </c>
      <c r="E50" s="14" t="inlineStr">
        <is>
          <t>1. اطلب إجازة سنوية 5 أيام</t>
        </is>
      </c>
      <c r="F50" s="14" t="inlineStr">
        <is>
          <t>رفض 400 «not enough annual leave balance: 3.5 days available by &lt;end&gt;, 5 requested»</t>
        </is>
      </c>
      <c r="G50" s="13" t="inlineStr">
        <is>
          <t>P1</t>
        </is>
      </c>
      <c r="H50" s="14" t="inlineStr">
        <is>
          <t>حالات حدّية</t>
        </is>
      </c>
      <c r="I50" s="13" t="inlineStr">
        <is>
          <t>لم يُختبر</t>
        </is>
      </c>
      <c r="J50" s="14" t="inlineStr"/>
      <c r="K50" s="13" t="inlineStr"/>
      <c r="L50" s="14" t="inlineStr"/>
    </row>
    <row r="51">
      <c r="A51" s="13" t="inlineStr">
        <is>
          <t>TC-D-050</t>
        </is>
      </c>
      <c r="B51" s="14" t="inlineStr">
        <is>
          <t>الموارد البشرية — الإجازات</t>
        </is>
      </c>
      <c r="C51" s="15" t="inlineStr">
        <is>
          <t>الاستحقاق اليومي للإجازة السنوية</t>
        </is>
      </c>
      <c r="D51" s="14" t="inlineStr">
        <is>
          <t>موظف عُيّن قبل 365 يومًا تمامًا وإجازته 21 يومًا</t>
        </is>
      </c>
      <c r="E51" s="14" t="inlineStr">
        <is>
          <t>1. افتح بطاقة الموظف وراجع الرصيد</t>
        </is>
      </c>
      <c r="F51" s="14" t="inlineStr">
        <is>
          <t>المستحق 21.00 يومًا (حساب يومي، تقريب لأسفل لمنزلتين)؛ بعد نصف سنة ≈ 10.5</t>
        </is>
      </c>
      <c r="G51" s="13" t="inlineStr">
        <is>
          <t>P1</t>
        </is>
      </c>
      <c r="H51" s="14" t="inlineStr">
        <is>
          <t>حالات حدّية</t>
        </is>
      </c>
      <c r="I51" s="13" t="inlineStr">
        <is>
          <t>لم يُختبر</t>
        </is>
      </c>
      <c r="J51" s="14" t="inlineStr"/>
      <c r="K51" s="13" t="inlineStr"/>
      <c r="L51" s="14" t="inlineStr"/>
    </row>
    <row r="52">
      <c r="A52" s="13" t="inlineStr">
        <is>
          <t>TC-D-051</t>
        </is>
      </c>
      <c r="B52" s="14" t="inlineStr">
        <is>
          <t>الموارد البشرية — الإجازات</t>
        </is>
      </c>
      <c r="C52" s="15" t="inlineStr">
        <is>
          <t>30 يومًا سنويًا بعد خمس سنوات</t>
        </is>
      </c>
      <c r="D52" s="14" t="inlineStr">
        <is>
          <t>موظف إجازته 21 يومًا وتعيينه قبل 6 سنوات</t>
        </is>
      </c>
      <c r="E52" s="14" t="inlineStr">
        <is>
          <t>1. راجع الرصيد المستحق</t>
        </is>
      </c>
      <c r="F52" s="14" t="inlineStr">
        <is>
          <t>السنوات الخمس الأولى بمعدل 21 والسنة السادسة بمعدل 30 يومًا (المادة 109)</t>
        </is>
      </c>
      <c r="G52" s="13" t="inlineStr">
        <is>
          <t>P1</t>
        </is>
      </c>
      <c r="H52" s="14" t="inlineStr">
        <is>
          <t>حالات حدّية</t>
        </is>
      </c>
      <c r="I52" s="13" t="inlineStr">
        <is>
          <t>لم يُختبر</t>
        </is>
      </c>
      <c r="J52" s="14" t="inlineStr"/>
      <c r="K52" s="13" t="inlineStr"/>
      <c r="L52" s="14" t="inlineStr"/>
    </row>
    <row r="53">
      <c r="A53" s="13" t="inlineStr">
        <is>
          <t>TC-D-052</t>
        </is>
      </c>
      <c r="B53" s="14" t="inlineStr">
        <is>
          <t>الموارد البشرية — الإجازات</t>
        </is>
      </c>
      <c r="C53" s="15" t="inlineStr">
        <is>
          <t>الإجازة المرضية: 30 يومًا كاملة ثم 60 بـ 75% ثم 30 بدون أجر</t>
        </is>
      </c>
      <c r="D53" s="14" t="inlineStr">
        <is>
          <t>موظف بلا إجازات مرضية سابقة</t>
        </is>
      </c>
      <c r="E53" s="14" t="inlineStr">
        <is>
          <t>1. سجّل إجازة مرضية 100 يوم متتالية على عدة أشهر
2. احسب رواتب تلك الأشهر</t>
        </is>
      </c>
      <c r="F53" s="14" t="inlineStr">
        <is>
          <t>الأيام 1–30 بأجر كامل، 31–90 بخصم 25% من الأجر اليومي، 91–100 بدون أجر؛ الحساب ضمن نافذة 12 شهرًا متحركة (المادة 117)</t>
        </is>
      </c>
      <c r="G53" s="13" t="inlineStr">
        <is>
          <t>P1</t>
        </is>
      </c>
      <c r="H53" s="14" t="inlineStr">
        <is>
          <t>حالات حدّية</t>
        </is>
      </c>
      <c r="I53" s="13" t="inlineStr">
        <is>
          <t>لم يُختبر</t>
        </is>
      </c>
      <c r="J53" s="14" t="inlineStr"/>
      <c r="K53" s="13" t="inlineStr"/>
      <c r="L53" s="14" t="inlineStr"/>
    </row>
    <row r="54">
      <c r="A54" s="13" t="inlineStr">
        <is>
          <t>TC-D-053</t>
        </is>
      </c>
      <c r="B54" s="14" t="inlineStr">
        <is>
          <t>الموارد البشرية — الإجازات</t>
        </is>
      </c>
      <c r="C54" s="15" t="inlineStr">
        <is>
          <t>إجازة بدون أجر تُخصم بالأجر اليومي</t>
        </is>
      </c>
      <c r="D54" s="14" t="inlineStr">
        <is>
          <t>راتب شهري إجمالي 9000</t>
        </is>
      </c>
      <c r="E54" s="14" t="inlineStr">
        <is>
          <t>1. سجّل إجازة بدون أجر 3 أيام ووافق
2. احسب الراتب</t>
        </is>
      </c>
      <c r="F54" s="14" t="inlineStr">
        <is>
          <t>خصم 900 (9000 ÷ 30 × 3)</t>
        </is>
      </c>
      <c r="G54" s="13" t="inlineStr">
        <is>
          <t>P1</t>
        </is>
      </c>
      <c r="H54" s="14" t="inlineStr">
        <is>
          <t>وظيفي</t>
        </is>
      </c>
      <c r="I54" s="13" t="inlineStr">
        <is>
          <t>لم يُختبر</t>
        </is>
      </c>
      <c r="J54" s="14" t="inlineStr"/>
      <c r="K54" s="13" t="inlineStr"/>
      <c r="L54" s="14" t="inlineStr"/>
    </row>
    <row r="55">
      <c r="A55" s="13" t="inlineStr">
        <is>
          <t>TC-D-054</t>
        </is>
      </c>
      <c r="B55" s="14" t="inlineStr">
        <is>
          <t>الموارد البشرية — الإجازات</t>
        </is>
      </c>
      <c r="C55" s="15" t="inlineStr">
        <is>
          <t>تداخل الإجازات ممنوع</t>
        </is>
      </c>
      <c r="D55" s="14" t="inlineStr">
        <is>
          <t>إجازة معتمدة أو معلقة 10–12</t>
        </is>
      </c>
      <c r="E55" s="14" t="inlineStr">
        <is>
          <t>1. اطلب إجازة 12–14 لنفس الموظف</t>
        </is>
      </c>
      <c r="F55" s="14" t="inlineStr">
        <is>
          <t>رفض 409 «these dates overlap leave &lt;number&gt;»</t>
        </is>
      </c>
      <c r="G55" s="13" t="inlineStr">
        <is>
          <t>P1</t>
        </is>
      </c>
      <c r="H55" s="14" t="inlineStr">
        <is>
          <t>تحقق من المدخلات</t>
        </is>
      </c>
      <c r="I55" s="13" t="inlineStr">
        <is>
          <t>لم يُختبر</t>
        </is>
      </c>
      <c r="J55" s="14" t="inlineStr"/>
      <c r="K55" s="13" t="inlineStr"/>
      <c r="L55" s="14" t="inlineStr"/>
    </row>
    <row r="56">
      <c r="A56" s="13" t="inlineStr">
        <is>
          <t>TC-D-055</t>
        </is>
      </c>
      <c r="B56" s="14" t="inlineStr">
        <is>
          <t>الموارد البشرية — الإجازات</t>
        </is>
      </c>
      <c r="C56" s="15" t="inlineStr">
        <is>
          <t>إجازة في شهر رواتب معتمد (مقفل)</t>
        </is>
      </c>
      <c r="D56" s="14" t="inlineStr">
        <is>
          <t>رواتب شهر 2026-09 approved</t>
        </is>
      </c>
      <c r="E56" s="14" t="inlineStr">
        <is>
          <t>1. اطلب إجازة تقع داخل سبتمبر 2026</t>
        </is>
      </c>
      <c r="F56" s="14" t="inlineStr">
        <is>
          <t>رفض 409 «the payroll for 2026-09 is already approved — that month is locked»</t>
        </is>
      </c>
      <c r="G56" s="13" t="inlineStr">
        <is>
          <t>P1</t>
        </is>
      </c>
      <c r="H56" s="14" t="inlineStr">
        <is>
          <t>حالات حدّية</t>
        </is>
      </c>
      <c r="I56" s="13" t="inlineStr">
        <is>
          <t>لم يُختبر</t>
        </is>
      </c>
      <c r="J56" s="14" t="inlineStr"/>
      <c r="K56" s="13" t="inlineStr"/>
      <c r="L56" s="14" t="inlineStr"/>
    </row>
    <row r="57">
      <c r="A57" s="13" t="inlineStr">
        <is>
          <t>TC-D-056</t>
        </is>
      </c>
      <c r="B57" s="14" t="inlineStr">
        <is>
          <t>الموارد البشرية — الإجازات</t>
        </is>
      </c>
      <c r="C57" s="15" t="inlineStr">
        <is>
          <t>المدير المباشر يوافق على طلب فريقه</t>
        </is>
      </c>
      <c r="D57" s="14" t="inlineStr">
        <is>
          <t>المدير مرتبط بحساب ولا يملك hr.approve</t>
        </is>
      </c>
      <c r="E57" s="14" t="inlineStr">
        <is>
          <t>1. يفتح المدير /hr/me ← طلبات الفريق
2. يوافق</t>
        </is>
      </c>
      <c r="F57" s="14" t="inlineStr">
        <is>
          <t>الحالة approved، يُسجل المقرر، وإشعار للموظف</t>
        </is>
      </c>
      <c r="G57" s="13" t="inlineStr">
        <is>
          <t>P1</t>
        </is>
      </c>
      <c r="H57" s="14" t="inlineStr">
        <is>
          <t>صلاحيات</t>
        </is>
      </c>
      <c r="I57" s="13" t="inlineStr">
        <is>
          <t>لم يُختبر</t>
        </is>
      </c>
      <c r="J57" s="14" t="inlineStr"/>
      <c r="K57" s="13" t="inlineStr"/>
      <c r="L57" s="14" t="inlineStr"/>
    </row>
    <row r="58">
      <c r="A58" s="13" t="inlineStr">
        <is>
          <t>TC-D-057</t>
        </is>
      </c>
      <c r="B58" s="14" t="inlineStr">
        <is>
          <t>الموارد البشرية — الإجازات</t>
        </is>
      </c>
      <c r="C58" s="15" t="inlineStr">
        <is>
          <t>مدير غير مباشر لا يستطيع التقرير</t>
        </is>
      </c>
      <c r="D58" s="14" t="inlineStr">
        <is>
          <t>مستخدم ليس مدير الموظف ولا يملك hr.approve</t>
        </is>
      </c>
      <c r="E58" s="14" t="inlineStr">
        <is>
          <t>1. حاول POST /api/hr/leaves/:id/decide</t>
        </is>
      </c>
      <c r="F58" s="14" t="inlineStr">
        <is>
          <t>رفض 403 «only the direct manager or HR approvers can decide this request»</t>
        </is>
      </c>
      <c r="G58" s="13" t="inlineStr">
        <is>
          <t>P1</t>
        </is>
      </c>
      <c r="H58" s="14" t="inlineStr">
        <is>
          <t>صلاحيات</t>
        </is>
      </c>
      <c r="I58" s="13" t="inlineStr">
        <is>
          <t>لم يُختبر</t>
        </is>
      </c>
      <c r="J58" s="14" t="inlineStr"/>
      <c r="K58" s="13" t="inlineStr"/>
      <c r="L58" s="14" t="inlineStr"/>
    </row>
    <row r="59">
      <c r="A59" s="13" t="inlineStr">
        <is>
          <t>TC-D-058</t>
        </is>
      </c>
      <c r="B59" s="14" t="inlineStr">
        <is>
          <t>الموارد البشرية — الإجازات</t>
        </is>
      </c>
      <c r="C59" s="15" t="inlineStr">
        <is>
          <t>لا يقرر أحد في طلبه الخاص</t>
        </is>
      </c>
      <c r="D59" s="14" t="inlineStr">
        <is>
          <t>مستخدم بـ hr.approve لديه طلب إجازة pending لنفسه</t>
        </is>
      </c>
      <c r="E59" s="14" t="inlineStr">
        <is>
          <t>1. حاول الموافقة على طلبه</t>
        </is>
      </c>
      <c r="F59" s="14" t="inlineStr">
        <is>
          <t>رفض 403 (إلا المالك)</t>
        </is>
      </c>
      <c r="G59" s="13" t="inlineStr">
        <is>
          <t>P1</t>
        </is>
      </c>
      <c r="H59" s="14" t="inlineStr">
        <is>
          <t>صلاحيات</t>
        </is>
      </c>
      <c r="I59" s="13" t="inlineStr">
        <is>
          <t>لم يُختبر</t>
        </is>
      </c>
      <c r="J59" s="14" t="inlineStr"/>
      <c r="K59" s="13" t="inlineStr"/>
      <c r="L59" s="14" t="inlineStr"/>
    </row>
    <row r="60">
      <c r="A60" s="13" t="inlineStr">
        <is>
          <t>TC-D-059</t>
        </is>
      </c>
      <c r="B60" s="14" t="inlineStr">
        <is>
          <t>الموارد البشرية — الإجازات</t>
        </is>
      </c>
      <c r="C60" s="15" t="inlineStr">
        <is>
          <t>الموظف لا يرى رواتب أو إجازات زملائه</t>
        </is>
      </c>
      <c r="D60" s="14" t="inlineStr">
        <is>
          <t>موظف بدور عادي</t>
        </is>
      </c>
      <c r="E60" s="14" t="inlineStr">
        <is>
          <t>1. افتح /hr/me
2. جرّب GET /api/hr/leaves و/api/hr/employees</t>
        </is>
      </c>
      <c r="F60" s="14" t="inlineStr">
        <is>
          <t>يرى بياناته فقط؛ الطلبات الأخرى 403</t>
        </is>
      </c>
      <c r="G60" s="13" t="inlineStr">
        <is>
          <t>P1</t>
        </is>
      </c>
      <c r="H60" s="14" t="inlineStr">
        <is>
          <t>أمان</t>
        </is>
      </c>
      <c r="I60" s="13" t="inlineStr">
        <is>
          <t>لم يُختبر</t>
        </is>
      </c>
      <c r="J60" s="14" t="inlineStr"/>
      <c r="K60" s="13" t="inlineStr"/>
      <c r="L60" s="14" t="inlineStr"/>
    </row>
    <row r="61">
      <c r="A61" s="13" t="inlineStr">
        <is>
          <t>TC-D-060</t>
        </is>
      </c>
      <c r="B61" s="14" t="inlineStr">
        <is>
          <t>الموارد البشرية — الإجازات</t>
        </is>
      </c>
      <c r="C61" s="15" t="inlineStr">
        <is>
          <t>الإجازة الاضطرارية تُخصم من الرصيد السنوي</t>
        </is>
      </c>
      <c r="D61" s="14" t="inlineStr">
        <is>
          <t>موظف رصيده 10 أيام</t>
        </is>
      </c>
      <c r="E61" s="14" t="inlineStr">
        <is>
          <t>1. اطلب إجازة اضطرارية 3 أيام ووافق عليها
2. راجع الرصيد</t>
        </is>
      </c>
      <c r="F61" s="14" t="inlineStr">
        <is>
          <t>ينقص الرصيد السنوي 3 أيام</t>
        </is>
      </c>
      <c r="G61" s="13" t="inlineStr">
        <is>
          <t>P2</t>
        </is>
      </c>
      <c r="H61" s="14" t="inlineStr">
        <is>
          <t>وظيفي</t>
        </is>
      </c>
      <c r="I61" s="13" t="inlineStr">
        <is>
          <t>لم يُختبر</t>
        </is>
      </c>
      <c r="J61" s="14" t="inlineStr"/>
      <c r="K61" s="13" t="inlineStr"/>
      <c r="L61" s="14" t="inlineStr"/>
    </row>
    <row r="62">
      <c r="A62" s="13" t="inlineStr">
        <is>
          <t>TC-D-061</t>
        </is>
      </c>
      <c r="B62" s="14" t="inlineStr">
        <is>
          <t>الموارد البشرية — الإجازات</t>
        </is>
      </c>
      <c r="C62" s="15" t="inlineStr">
        <is>
          <t>نافذة 12 شهرًا للمرضية</t>
        </is>
      </c>
      <c r="D62" s="14" t="inlineStr">
        <is>
          <t>موظف أخذ 30 يومًا مرضية قبل 13 شهرًا</t>
        </is>
      </c>
      <c r="E62" s="14" t="inlineStr">
        <is>
          <t>1. سجّل مرضية 10 أيام هذا الشهر
2. احسب الراتب</t>
        </is>
      </c>
      <c r="F62" s="14" t="inlineStr">
        <is>
          <t>الأيام العشرة بأجر كامل لأن المرضية السابقة خارج نافذة الـ 365 يومًا</t>
        </is>
      </c>
      <c r="G62" s="13" t="inlineStr">
        <is>
          <t>P2</t>
        </is>
      </c>
      <c r="H62" s="14" t="inlineStr">
        <is>
          <t>حالات حدّية</t>
        </is>
      </c>
      <c r="I62" s="13" t="inlineStr">
        <is>
          <t>لم يُختبر</t>
        </is>
      </c>
      <c r="J62" s="14" t="inlineStr"/>
      <c r="K62" s="13" t="inlineStr"/>
      <c r="L62" s="14" t="inlineStr"/>
    </row>
    <row r="63">
      <c r="A63" s="13" t="inlineStr">
        <is>
          <t>TC-D-062</t>
        </is>
      </c>
      <c r="B63" s="14" t="inlineStr">
        <is>
          <t>الموارد البشرية — الإجازات</t>
        </is>
      </c>
      <c r="C63" s="15" t="inlineStr">
        <is>
          <t>تاريخ نهاية قبل البداية</t>
        </is>
      </c>
      <c r="D63" s="14" t="inlineStr">
        <is>
          <t>موظف</t>
        </is>
      </c>
      <c r="E63" s="14" t="inlineStr">
        <is>
          <t>1. اطلب إجازة endDate &lt; startDate</t>
        </is>
      </c>
      <c r="F63" s="14" t="inlineStr">
        <is>
          <t>رفض 400 برسالة واضحة</t>
        </is>
      </c>
      <c r="G63" s="13" t="inlineStr">
        <is>
          <t>P2</t>
        </is>
      </c>
      <c r="H63" s="14" t="inlineStr">
        <is>
          <t>تحقق من المدخلات</t>
        </is>
      </c>
      <c r="I63" s="13" t="inlineStr">
        <is>
          <t>لم يُختبر</t>
        </is>
      </c>
      <c r="J63" s="14" t="inlineStr"/>
      <c r="K63" s="13" t="inlineStr"/>
      <c r="L63" s="14" t="inlineStr"/>
    </row>
    <row r="64">
      <c r="A64" s="13" t="inlineStr">
        <is>
          <t>TC-D-063</t>
        </is>
      </c>
      <c r="B64" s="14" t="inlineStr">
        <is>
          <t>الموارد البشرية — الإجازات</t>
        </is>
      </c>
      <c r="C64" s="15" t="inlineStr">
        <is>
          <t>رفض طلب الإجازة مع سبب</t>
        </is>
      </c>
      <c r="D64" s="14" t="inlineStr">
        <is>
          <t>طلب pending</t>
        </is>
      </c>
      <c r="E64" s="14" t="inlineStr">
        <is>
          <t>1. المدير يرفض مع ملاحظة</t>
        </is>
      </c>
      <c r="F64" s="14" t="inlineStr">
        <is>
          <t>الحالة rejected، يعود الرصيد المعلق، إشعار للموظف</t>
        </is>
      </c>
      <c r="G64" s="13" t="inlineStr">
        <is>
          <t>P2</t>
        </is>
      </c>
      <c r="H64" s="14" t="inlineStr">
        <is>
          <t>وظيفي</t>
        </is>
      </c>
      <c r="I64" s="13" t="inlineStr">
        <is>
          <t>لم يُختبر</t>
        </is>
      </c>
      <c r="J64" s="14" t="inlineStr"/>
      <c r="K64" s="13" t="inlineStr"/>
      <c r="L64" s="14" t="inlineStr"/>
    </row>
    <row r="65">
      <c r="A65" s="13" t="inlineStr">
        <is>
          <t>TC-D-064</t>
        </is>
      </c>
      <c r="B65" s="14" t="inlineStr">
        <is>
          <t>الموارد البشرية — الإجازات</t>
        </is>
      </c>
      <c r="C65" s="15" t="inlineStr">
        <is>
          <t>إعادة فحص الرصيد عند الموافقة</t>
        </is>
      </c>
      <c r="D65" s="14" t="inlineStr">
        <is>
          <t>طلبان معلقان يتجاوزان معًا الرصيد</t>
        </is>
      </c>
      <c r="E65" s="14" t="inlineStr">
        <is>
          <t>1. وافق على الأول
2. وافق على الثاني</t>
        </is>
      </c>
      <c r="F65" s="14" t="inlineStr">
        <is>
          <t>الثاني يرفض 400 «not enough annual leave balance» إن تجاوز المتاح</t>
        </is>
      </c>
      <c r="G65" s="13" t="inlineStr">
        <is>
          <t>P2</t>
        </is>
      </c>
      <c r="H65" s="14" t="inlineStr">
        <is>
          <t>حالات حدّية</t>
        </is>
      </c>
      <c r="I65" s="13" t="inlineStr">
        <is>
          <t>لم يُختبر</t>
        </is>
      </c>
      <c r="J65" s="14" t="inlineStr"/>
      <c r="K65" s="13" t="inlineStr"/>
      <c r="L65" s="14" t="inlineStr"/>
    </row>
    <row r="66">
      <c r="A66" s="13" t="inlineStr">
        <is>
          <t>TC-D-065</t>
        </is>
      </c>
      <c r="B66" s="14" t="inlineStr">
        <is>
          <t>الموارد البشرية — الإجازات</t>
        </is>
      </c>
      <c r="C66" s="15" t="inlineStr">
        <is>
          <t>سحب الموظف لطلبه المعلق فقط</t>
        </is>
      </c>
      <c r="D66" s="14" t="inlineStr">
        <is>
          <t>موظف لديه طلب pending وآخر approved</t>
        </is>
      </c>
      <c r="E66" s="14" t="inlineStr">
        <is>
          <t>1. يسحب المعلق من /hr/me
2. يحاول سحب المعتمد</t>
        </is>
      </c>
      <c r="F66" s="14" t="inlineStr">
        <is>
          <t>الأول cancelled؛ الثاني 409 «only a pending request can be withdrawn — ask HR to cancel approved leave»</t>
        </is>
      </c>
      <c r="G66" s="13" t="inlineStr">
        <is>
          <t>P2</t>
        </is>
      </c>
      <c r="H66" s="14" t="inlineStr">
        <is>
          <t>وظيفي</t>
        </is>
      </c>
      <c r="I66" s="13" t="inlineStr">
        <is>
          <t>لم يُختبر</t>
        </is>
      </c>
      <c r="J66" s="14" t="inlineStr"/>
      <c r="K66" s="13" t="inlineStr"/>
      <c r="L66" s="14" t="inlineStr"/>
    </row>
    <row r="67">
      <c r="A67" s="13" t="inlineStr">
        <is>
          <t>TC-D-066</t>
        </is>
      </c>
      <c r="B67" s="14" t="inlineStr">
        <is>
          <t>الموارد البشرية — الإجازات</t>
        </is>
      </c>
      <c r="C67" s="15" t="inlineStr">
        <is>
          <t>الموارد البشرية تُدخل إجازة معتمدة مباشرة مع allowNegative</t>
        </is>
      </c>
      <c r="D67" s="14" t="inlineStr">
        <is>
          <t>hr.write</t>
        </is>
      </c>
      <c r="E67" s="14" t="inlineStr">
        <is>
          <t>1. أدخل إجازة سنوية لموظف تتجاوز رصيده دون allowNegative
2. أعد مع allowNegative</t>
        </is>
      </c>
      <c r="F67" s="14" t="inlineStr">
        <is>
          <t>الأول يرفض للرصيد؛ الثاني يُعتمد فورًا ويصبح الرصيد سالبًا</t>
        </is>
      </c>
      <c r="G67" s="13" t="inlineStr">
        <is>
          <t>P2</t>
        </is>
      </c>
      <c r="H67" s="14" t="inlineStr">
        <is>
          <t>وظيفي</t>
        </is>
      </c>
      <c r="I67" s="13" t="inlineStr">
        <is>
          <t>لم يُختبر</t>
        </is>
      </c>
      <c r="J67" s="14" t="inlineStr"/>
      <c r="K67" s="13" t="inlineStr"/>
      <c r="L67" s="14" t="inlineStr"/>
    </row>
    <row r="68">
      <c r="A68" s="13" t="inlineStr">
        <is>
          <t>TC-D-067</t>
        </is>
      </c>
      <c r="B68" s="14" t="inlineStr">
        <is>
          <t>الموارد البشرية — الإجازات</t>
        </is>
      </c>
      <c r="C68" s="15" t="inlineStr">
        <is>
          <t>إلغاء إجازة معتمدة من الموارد البشرية</t>
        </is>
      </c>
      <c r="D68" s="14" t="inlineStr">
        <is>
          <t>إجازة approved في شهر غير مقفل</t>
        </is>
      </c>
      <c r="E68" s="14" t="inlineStr">
        <is>
          <t>1. ألغِ الإجازة
2. جرّب إلغاء إجازة في شهر مقفل</t>
        </is>
      </c>
      <c r="F68" s="14" t="inlineStr">
        <is>
          <t>الأول cancelled ويعود الرصيد؛ الثاني 409 الشهر مقفل</t>
        </is>
      </c>
      <c r="G68" s="13" t="inlineStr">
        <is>
          <t>P2</t>
        </is>
      </c>
      <c r="H68" s="14" t="inlineStr">
        <is>
          <t>وظيفي</t>
        </is>
      </c>
      <c r="I68" s="13" t="inlineStr">
        <is>
          <t>لم يُختبر</t>
        </is>
      </c>
      <c r="J68" s="14" t="inlineStr"/>
      <c r="K68" s="13" t="inlineStr"/>
      <c r="L68" s="14" t="inlineStr"/>
    </row>
    <row r="69">
      <c r="A69" s="13" t="inlineStr">
        <is>
          <t>TC-D-068</t>
        </is>
      </c>
      <c r="B69" s="14" t="inlineStr">
        <is>
          <t>الموارد البشرية — الإجازات</t>
        </is>
      </c>
      <c r="C69" s="15" t="inlineStr">
        <is>
          <t>مرفق تقرير طبي للمرضية</t>
        </is>
      </c>
      <c r="D69" s="14" t="inlineStr">
        <is>
          <t>موظف</t>
        </is>
      </c>
      <c r="E69" s="14" t="inlineStr">
        <is>
          <t>1. اطلب مرضية وارفع ملف PDF مرفق
2. افتح الطلب كمدير</t>
        </is>
      </c>
      <c r="F69" s="14" t="inlineStr">
        <is>
          <t>المرفق محفوظ ويمكن للمدير وhr فتحه؛ لا يمكن لموظف آخر الوصول إليه</t>
        </is>
      </c>
      <c r="G69" s="13" t="inlineStr">
        <is>
          <t>P2</t>
        </is>
      </c>
      <c r="H69" s="14" t="inlineStr">
        <is>
          <t>أمان</t>
        </is>
      </c>
      <c r="I69" s="13" t="inlineStr">
        <is>
          <t>لم يُختبر</t>
        </is>
      </c>
      <c r="J69" s="14" t="inlineStr"/>
      <c r="K69" s="13" t="inlineStr"/>
      <c r="L69" s="14" t="inlineStr"/>
    </row>
    <row r="70">
      <c r="A70" s="13" t="inlineStr">
        <is>
          <t>TC-D-069</t>
        </is>
      </c>
      <c r="B70" s="14" t="inlineStr">
        <is>
          <t>الموارد البشرية — الإجازات</t>
        </is>
      </c>
      <c r="C70" s="15" t="inlineStr">
        <is>
          <t>موظف منتهية خدمته لا يطلب إجازة</t>
        </is>
      </c>
      <c r="D70" s="14" t="inlineStr">
        <is>
          <t>موظف terminated</t>
        </is>
      </c>
      <c r="E70" s="14" t="inlineStr">
        <is>
          <t>1. أدخل له إجازة</t>
        </is>
      </c>
      <c r="F70" s="14" t="inlineStr">
        <is>
          <t>رفض 409 «the employee has left»</t>
        </is>
      </c>
      <c r="G70" s="13" t="inlineStr">
        <is>
          <t>P2</t>
        </is>
      </c>
      <c r="H70" s="14" t="inlineStr">
        <is>
          <t>تحقق من المدخلات</t>
        </is>
      </c>
      <c r="I70" s="13" t="inlineStr">
        <is>
          <t>لم يُختبر</t>
        </is>
      </c>
      <c r="J70" s="14" t="inlineStr"/>
      <c r="K70" s="13" t="inlineStr"/>
      <c r="L70" s="14" t="inlineStr"/>
    </row>
    <row r="71">
      <c r="A71" s="13" t="inlineStr">
        <is>
          <t>TC-D-070</t>
        </is>
      </c>
      <c r="B71" s="14" t="inlineStr">
        <is>
          <t>الموارد البشرية — الإجازات</t>
        </is>
      </c>
      <c r="C71" s="15" t="inlineStr">
        <is>
          <t>/hr/me لمستخدم غير مرتبط بموظف</t>
        </is>
      </c>
      <c r="D71" s="14" t="inlineStr">
        <is>
          <t>مستخدم بلا سجل موظف</t>
        </is>
      </c>
      <c r="E71" s="14" t="inlineStr">
        <is>
          <t>1. افتح /hr/me</t>
        </is>
      </c>
      <c r="F71" s="14" t="inlineStr">
        <is>
          <t>رسالة ودية أن الحساب غير مرتبط بموظف، دون أخطاء؛ لا تظهر أي بيانات لموظفين آخرين</t>
        </is>
      </c>
      <c r="G71" s="13" t="inlineStr">
        <is>
          <t>P2</t>
        </is>
      </c>
      <c r="H71" s="14" t="inlineStr">
        <is>
          <t>واجهة وعرض</t>
        </is>
      </c>
      <c r="I71" s="13" t="inlineStr">
        <is>
          <t>لم يُختبر</t>
        </is>
      </c>
      <c r="J71" s="14" t="inlineStr"/>
      <c r="K71" s="13" t="inlineStr"/>
      <c r="L71" s="14" t="inlineStr"/>
    </row>
    <row r="72">
      <c r="A72" s="13" t="inlineStr">
        <is>
          <t>TC-D-071</t>
        </is>
      </c>
      <c r="B72" s="14" t="inlineStr">
        <is>
          <t>الموارد البشرية — الإجازات</t>
        </is>
      </c>
      <c r="C72" s="15" t="inlineStr">
        <is>
          <t>حساب الأيام شاملًا لطرفي المدة</t>
        </is>
      </c>
      <c r="D72" s="14" t="inlineStr">
        <is>
          <t>موظف</t>
        </is>
      </c>
      <c r="E72" s="14" t="inlineStr">
        <is>
          <t>1. اطلب إجازة من 2026-10-01 إلى 2026-10-01
2. ومن 2026-10-30 إلى 2026-11-02</t>
        </is>
      </c>
      <c r="F72" s="14" t="inlineStr">
        <is>
          <t>يوم واحد للأولى، 4 أيام للثانية (أيام تقويمية شاملة)</t>
        </is>
      </c>
      <c r="G72" s="13" t="inlineStr">
        <is>
          <t>P2</t>
        </is>
      </c>
      <c r="H72" s="14" t="inlineStr">
        <is>
          <t>حالات حدّية</t>
        </is>
      </c>
      <c r="I72" s="13" t="inlineStr">
        <is>
          <t>لم يُختبر</t>
        </is>
      </c>
      <c r="J72" s="14" t="inlineStr"/>
      <c r="K72" s="13" t="inlineStr"/>
      <c r="L72" s="14" t="inlineStr"/>
    </row>
    <row r="73">
      <c r="A73" s="13" t="inlineStr">
        <is>
          <t>TC-D-072</t>
        </is>
      </c>
      <c r="B73" s="14" t="inlineStr">
        <is>
          <t>الموارد البشرية — الإجازات</t>
        </is>
      </c>
      <c r="C73" s="15" t="inlineStr">
        <is>
          <t>التقرير على طلب مقرر سابقًا</t>
        </is>
      </c>
      <c r="D73" s="14" t="inlineStr">
        <is>
          <t>طلب approved</t>
        </is>
      </c>
      <c r="E73" s="14" t="inlineStr">
        <is>
          <t>1. حاول الموافقة مجددًا</t>
        </is>
      </c>
      <c r="F73" s="14" t="inlineStr">
        <is>
          <t>رفض 409 «the request is already approved»</t>
        </is>
      </c>
      <c r="G73" s="13" t="inlineStr">
        <is>
          <t>P3</t>
        </is>
      </c>
      <c r="H73" s="14" t="inlineStr">
        <is>
          <t>حالات حدّية</t>
        </is>
      </c>
      <c r="I73" s="13" t="inlineStr">
        <is>
          <t>لم يُختبر</t>
        </is>
      </c>
      <c r="J73" s="14" t="inlineStr"/>
      <c r="K73" s="13" t="inlineStr"/>
      <c r="L73" s="14" t="inlineStr"/>
    </row>
    <row r="74">
      <c r="A74" s="13" t="inlineStr">
        <is>
          <t>TC-D-073</t>
        </is>
      </c>
      <c r="B74" s="14" t="inlineStr">
        <is>
          <t>الموارد البشرية — المكافآت والخصومات</t>
        </is>
      </c>
      <c r="C74" s="15" t="inlineStr">
        <is>
          <t>إضافة مكافأة على الراتب</t>
        </is>
      </c>
      <c r="D74" s="14" t="inlineStr">
        <is>
          <t>hr.write وموظف active</t>
        </is>
      </c>
      <c r="E74" s="14" t="inlineStr">
        <is>
          <t>1. من صفحة الموظف أضف مكافأة 500 لشهر 2026-10 مع سبب (payBy = payroll)</t>
        </is>
      </c>
      <c r="F74" s="14" t="inlineStr">
        <is>
          <t>تظهر في القائمة وتضاف لإجمالي الراتب عند احتساب رواتب أكتوبر</t>
        </is>
      </c>
      <c r="G74" s="13" t="inlineStr">
        <is>
          <t>P1</t>
        </is>
      </c>
      <c r="H74" s="14" t="inlineStr">
        <is>
          <t>وظيفي</t>
        </is>
      </c>
      <c r="I74" s="13" t="inlineStr">
        <is>
          <t>لم يُختبر</t>
        </is>
      </c>
      <c r="J74" s="14" t="inlineStr"/>
      <c r="K74" s="13" t="inlineStr"/>
      <c r="L74" s="14" t="inlineStr"/>
    </row>
    <row r="75">
      <c r="A75" s="13" t="inlineStr">
        <is>
          <t>TC-D-074</t>
        </is>
      </c>
      <c r="B75" s="14" t="inlineStr">
        <is>
          <t>الموارد البشرية — المكافآت والخصومات</t>
        </is>
      </c>
      <c r="C75" s="15" t="inlineStr">
        <is>
          <t>خصم يتجاوز نصف الأجر يعطي تحذيرًا</t>
        </is>
      </c>
      <c r="D75" s="14" t="inlineStr">
        <is>
          <t>راتب 6000</t>
        </is>
      </c>
      <c r="E75" s="14" t="inlineStr">
        <is>
          <t>1. أضف خصمًا 3500
2. احسب الرواتب</t>
        </is>
      </c>
      <c r="F75" s="14" t="inlineStr">
        <is>
          <t>يظهر تنبيه «الخصومات تتجاوز نصف الأجر (المادة 92)» على صف الموظف في مسير الرواتب (deductions_over_half)، دون منع الحفظ</t>
        </is>
      </c>
      <c r="G75" s="13" t="inlineStr">
        <is>
          <t>P1</t>
        </is>
      </c>
      <c r="H75" s="14" t="inlineStr">
        <is>
          <t>حالات حدّية</t>
        </is>
      </c>
      <c r="I75" s="13" t="inlineStr">
        <is>
          <t>لم يُختبر</t>
        </is>
      </c>
      <c r="J75" s="14" t="inlineStr"/>
      <c r="K75" s="13" t="inlineStr"/>
      <c r="L75" s="14" t="inlineStr"/>
    </row>
    <row r="76">
      <c r="A76" s="13" t="inlineStr">
        <is>
          <t>TC-D-075</t>
        </is>
      </c>
      <c r="B76" s="14" t="inlineStr">
        <is>
          <t>الموارد البشرية — المكافآت والخصومات</t>
        </is>
      </c>
      <c r="C76" s="15" t="inlineStr">
        <is>
          <t>مكافأة بسند صرف تُستبعد من الرواتب</t>
        </is>
      </c>
      <c r="D76" s="14" t="inlineStr">
        <is>
          <t>مستخدم يملك hr.write وvoucher.write</t>
        </is>
      </c>
      <c r="E76" s="14" t="inlineStr">
        <is>
          <t>1. أضف مكافأة 1000 بطريقة voucher
2. افتح المالية/السندات
3. احسب رواتب الشهر</t>
        </is>
      </c>
      <c r="F76" s="14" t="inlineStr">
        <is>
          <t>يُنشأ سند صرف draft باسم الموظف ورقمه من سلسلة payment_voucher؛ لا تدخل المكافأة في الرواتب</t>
        </is>
      </c>
      <c r="G76" s="13" t="inlineStr">
        <is>
          <t>P1</t>
        </is>
      </c>
      <c r="H76" s="14" t="inlineStr">
        <is>
          <t>تكامل</t>
        </is>
      </c>
      <c r="I76" s="13" t="inlineStr">
        <is>
          <t>لم يُختبر</t>
        </is>
      </c>
      <c r="J76" s="14" t="inlineStr"/>
      <c r="K76" s="13" t="inlineStr"/>
      <c r="L76" s="14" t="inlineStr"/>
    </row>
    <row r="77">
      <c r="A77" s="13" t="inlineStr">
        <is>
          <t>TC-D-076</t>
        </is>
      </c>
      <c r="B77" s="14" t="inlineStr">
        <is>
          <t>الموارد البشرية — المكافآت والخصومات</t>
        </is>
      </c>
      <c r="C77" s="15" t="inlineStr">
        <is>
          <t>حذف مكافأة يلغي السند المسودة</t>
        </is>
      </c>
      <c r="D77" s="14" t="inlineStr">
        <is>
          <t>مكافأة بسند draft</t>
        </is>
      </c>
      <c r="E77" s="14" t="inlineStr">
        <is>
          <t>1. احذف المكافأة</t>
        </is>
      </c>
      <c r="F77" s="14" t="inlineStr">
        <is>
          <t>السند يصبح cancelled مع تدقيق «bonus deleted in HR»</t>
        </is>
      </c>
      <c r="G77" s="13" t="inlineStr">
        <is>
          <t>P1</t>
        </is>
      </c>
      <c r="H77" s="14" t="inlineStr">
        <is>
          <t>تكامل</t>
        </is>
      </c>
      <c r="I77" s="13" t="inlineStr">
        <is>
          <t>لم يُختبر</t>
        </is>
      </c>
      <c r="J77" s="14" t="inlineStr"/>
      <c r="K77" s="13" t="inlineStr"/>
      <c r="L77" s="14" t="inlineStr"/>
    </row>
    <row r="78">
      <c r="A78" s="13" t="inlineStr">
        <is>
          <t>TC-D-077</t>
        </is>
      </c>
      <c r="B78" s="14" t="inlineStr">
        <is>
          <t>الموارد البشرية — المكافآت والخصومات</t>
        </is>
      </c>
      <c r="C78" s="15" t="inlineStr">
        <is>
          <t>حذف مكافأة سندها معتمد ممنوع</t>
        </is>
      </c>
      <c r="D78" s="14" t="inlineStr">
        <is>
          <t>مكافأة بسند approved</t>
        </is>
      </c>
      <c r="E78" s="14" t="inlineStr">
        <is>
          <t>1. احذف المكافأة</t>
        </is>
      </c>
      <c r="F78" s="14" t="inlineStr">
        <is>
          <t>رفض 409 «payment voucher … is already approved — cancel it in Finance first»</t>
        </is>
      </c>
      <c r="G78" s="13" t="inlineStr">
        <is>
          <t>P1</t>
        </is>
      </c>
      <c r="H78" s="14" t="inlineStr">
        <is>
          <t>تكامل</t>
        </is>
      </c>
      <c r="I78" s="13" t="inlineStr">
        <is>
          <t>لم يُختبر</t>
        </is>
      </c>
      <c r="J78" s="14" t="inlineStr"/>
      <c r="K78" s="13" t="inlineStr"/>
      <c r="L78" s="14" t="inlineStr"/>
    </row>
    <row r="79">
      <c r="A79" s="13" t="inlineStr">
        <is>
          <t>TC-D-078</t>
        </is>
      </c>
      <c r="B79" s="14" t="inlineStr">
        <is>
          <t>الموارد البشرية — المكافآت والخصومات</t>
        </is>
      </c>
      <c r="C79" s="15" t="inlineStr">
        <is>
          <t>تعديل/حذف تسوية في شهر مقفل</t>
        </is>
      </c>
      <c r="D79" s="14" t="inlineStr">
        <is>
          <t>تسوية payroll في شهر معتمد</t>
        </is>
      </c>
      <c r="E79" s="14" t="inlineStr">
        <is>
          <t>1. حاول الحذف أو إضافة تسوية جديدة لنفس الشهر</t>
        </is>
      </c>
      <c r="F79" s="14" t="inlineStr">
        <is>
          <t>التسوية تظهر locked والطلب يرفض 409</t>
        </is>
      </c>
      <c r="G79" s="13" t="inlineStr">
        <is>
          <t>P1</t>
        </is>
      </c>
      <c r="H79" s="14" t="inlineStr">
        <is>
          <t>حالات حدّية</t>
        </is>
      </c>
      <c r="I79" s="13" t="inlineStr">
        <is>
          <t>لم يُختبر</t>
        </is>
      </c>
      <c r="J79" s="14" t="inlineStr"/>
      <c r="K79" s="13" t="inlineStr"/>
      <c r="L79" s="14" t="inlineStr"/>
    </row>
    <row r="80">
      <c r="A80" s="13" t="inlineStr">
        <is>
          <t>TC-D-079</t>
        </is>
      </c>
      <c r="B80" s="14" t="inlineStr">
        <is>
          <t>الموارد البشرية — المكافآت والخصومات</t>
        </is>
      </c>
      <c r="C80" s="15" t="inlineStr">
        <is>
          <t>المكافأة بسند تحتاج voucher.write</t>
        </is>
      </c>
      <c r="D80" s="14" t="inlineStr">
        <is>
          <t>hr.write فقط</t>
        </is>
      </c>
      <c r="E80" s="14" t="inlineStr">
        <is>
          <t>1. حاول payBy = voucher</t>
        </is>
      </c>
      <c r="F80" s="14" t="inlineStr">
        <is>
          <t>رفض 403 «paying by voucher needs voucher.write…»</t>
        </is>
      </c>
      <c r="G80" s="13" t="inlineStr">
        <is>
          <t>P2</t>
        </is>
      </c>
      <c r="H80" s="14" t="inlineStr">
        <is>
          <t>صلاحيات</t>
        </is>
      </c>
      <c r="I80" s="13" t="inlineStr">
        <is>
          <t>لم يُختبر</t>
        </is>
      </c>
      <c r="J80" s="14" t="inlineStr"/>
      <c r="K80" s="13" t="inlineStr"/>
      <c r="L80" s="14" t="inlineStr"/>
    </row>
    <row r="81">
      <c r="A81" s="13" t="inlineStr">
        <is>
          <t>TC-D-080</t>
        </is>
      </c>
      <c r="B81" s="14" t="inlineStr">
        <is>
          <t>الموارد البشرية — المكافآت والخصومات</t>
        </is>
      </c>
      <c r="C81" s="15" t="inlineStr">
        <is>
          <t>الخصم لا يُدفع بسند</t>
        </is>
      </c>
      <c r="D81" s="14" t="inlineStr">
        <is>
          <t>hr.write وvoucher.write</t>
        </is>
      </c>
      <c r="E81" s="14" t="inlineStr">
        <is>
          <t>1. أضف deduction مع payBy = voucher</t>
        </is>
      </c>
      <c r="F81" s="14" t="inlineStr">
        <is>
          <t>رفض 400 «only a bonus can be paid by voucher»</t>
        </is>
      </c>
      <c r="G81" s="13" t="inlineStr">
        <is>
          <t>P3</t>
        </is>
      </c>
      <c r="H81" s="14" t="inlineStr">
        <is>
          <t>تحقق من المدخلات</t>
        </is>
      </c>
      <c r="I81" s="13" t="inlineStr">
        <is>
          <t>لم يُختبر</t>
        </is>
      </c>
      <c r="J81" s="14" t="inlineStr"/>
      <c r="K81" s="13" t="inlineStr"/>
      <c r="L81" s="14" t="inlineStr"/>
    </row>
    <row r="82">
      <c r="A82" s="13" t="inlineStr">
        <is>
          <t>TC-D-081</t>
        </is>
      </c>
      <c r="B82" s="14" t="inlineStr">
        <is>
          <t>الموارد البشرية — مسير الرواتب</t>
        </is>
      </c>
      <c r="C82" s="15" t="inlineStr">
        <is>
          <t>إعداد مسير شهر كامل</t>
        </is>
      </c>
      <c r="D82" s="14" t="inlineStr">
        <is>
          <t>3 موظفين active طوال الشهر</t>
        </is>
      </c>
      <c r="E82" s="14" t="inlineStr">
        <is>
          <t>1. افتح /hr/payroll ← إعداد شهر 2026-10</t>
        </is>
      </c>
      <c r="F82" s="14" t="inlineStr">
        <is>
          <t>مسير draft يحتوي كل الموظفين بـ 30 يوم عمل، الإجمالي = الأساسي+السكن+النقل+الأخرى+المكافآت، والصافي بعد الخصومات</t>
        </is>
      </c>
      <c r="G82" s="13" t="inlineStr">
        <is>
          <t>P1</t>
        </is>
      </c>
      <c r="H82" s="14" t="inlineStr">
        <is>
          <t>وظيفي</t>
        </is>
      </c>
      <c r="I82" s="13" t="inlineStr">
        <is>
          <t>لم يُختبر</t>
        </is>
      </c>
      <c r="J82" s="14" t="inlineStr"/>
      <c r="K82" s="13" t="inlineStr"/>
      <c r="L82" s="14" t="inlineStr"/>
    </row>
    <row r="83">
      <c r="A83" s="13" t="inlineStr">
        <is>
          <t>TC-D-082</t>
        </is>
      </c>
      <c r="B83" s="14" t="inlineStr">
        <is>
          <t>الموارد البشرية — مسير الرواتب</t>
        </is>
      </c>
      <c r="C83" s="15" t="inlineStr">
        <is>
          <t>تناسب الشهر الجزئي للتعيين على أساس 30 يومًا</t>
        </is>
      </c>
      <c r="D83" s="14" t="inlineStr">
        <is>
          <t>موظف تعيينه 2026-10-17 وراتبه 9000</t>
        </is>
      </c>
      <c r="E83" s="14" t="inlineStr">
        <is>
          <t>1. أعد احتساب مسير أكتوبر</t>
        </is>
      </c>
      <c r="F83" s="14" t="inlineStr">
        <is>
          <t>15 يوم عمل (17–31)، الأساسي 4500، تحذير partial_month</t>
        </is>
      </c>
      <c r="G83" s="13" t="inlineStr">
        <is>
          <t>P1</t>
        </is>
      </c>
      <c r="H83" s="14" t="inlineStr">
        <is>
          <t>حالات حدّية</t>
        </is>
      </c>
      <c r="I83" s="13" t="inlineStr">
        <is>
          <t>لم يُختبر</t>
        </is>
      </c>
      <c r="J83" s="14" t="inlineStr"/>
      <c r="K83" s="13" t="inlineStr"/>
      <c r="L83" s="14" t="inlineStr"/>
    </row>
    <row r="84">
      <c r="A84" s="13" t="inlineStr">
        <is>
          <t>TC-D-083</t>
        </is>
      </c>
      <c r="B84" s="14" t="inlineStr">
        <is>
          <t>الموارد البشرية — مسير الرواتب</t>
        </is>
      </c>
      <c r="C84" s="15" t="inlineStr">
        <is>
          <t>شهر فبراير كامل = 30 يومًا</t>
        </is>
      </c>
      <c r="D84" s="14" t="inlineStr">
        <is>
          <t>موظف طوال فبراير 2027</t>
        </is>
      </c>
      <c r="E84" s="14" t="inlineStr">
        <is>
          <t>1. احسب مسير فبراير</t>
        </is>
      </c>
      <c r="F84" s="14" t="inlineStr">
        <is>
          <t>workedDays = 30 وراتب كامل (وليس 28/30)</t>
        </is>
      </c>
      <c r="G84" s="13" t="inlineStr">
        <is>
          <t>P1</t>
        </is>
      </c>
      <c r="H84" s="14" t="inlineStr">
        <is>
          <t>حالات حدّية</t>
        </is>
      </c>
      <c r="I84" s="13" t="inlineStr">
        <is>
          <t>لم يُختبر</t>
        </is>
      </c>
      <c r="J84" s="14" t="inlineStr"/>
      <c r="K84" s="13" t="inlineStr"/>
      <c r="L84" s="14" t="inlineStr"/>
    </row>
    <row r="85">
      <c r="A85" s="13" t="inlineStr">
        <is>
          <t>TC-D-084</t>
        </is>
      </c>
      <c r="B85" s="14" t="inlineStr">
        <is>
          <t>الموارد البشرية — مسير الرواتب</t>
        </is>
      </c>
      <c r="C85" s="15" t="inlineStr">
        <is>
          <t>إنهاء الخدمة منتصف الشهر</t>
        </is>
      </c>
      <c r="D85" s="14" t="inlineStr">
        <is>
          <t>آخر يوم عمل 2026-10-10</t>
        </is>
      </c>
      <c r="E85" s="14" t="inlineStr">
        <is>
          <t>1. احسب مسير أكتوبر
2. احسب مسير نوفمبر</t>
        </is>
      </c>
      <c r="F85" s="14" t="inlineStr">
        <is>
          <t>أكتوبر 10 أيام، ونوفمبر لا يتضمن الموظف</t>
        </is>
      </c>
      <c r="G85" s="13" t="inlineStr">
        <is>
          <t>P1</t>
        </is>
      </c>
      <c r="H85" s="14" t="inlineStr">
        <is>
          <t>حالات حدّية</t>
        </is>
      </c>
      <c r="I85" s="13" t="inlineStr">
        <is>
          <t>لم يُختبر</t>
        </is>
      </c>
      <c r="J85" s="14" t="inlineStr"/>
      <c r="K85" s="13" t="inlineStr"/>
      <c r="L85" s="14" t="inlineStr"/>
    </row>
    <row r="86">
      <c r="A86" s="13" t="inlineStr">
        <is>
          <t>TC-D-085</t>
        </is>
      </c>
      <c r="B86" s="14" t="inlineStr">
        <is>
          <t>الموارد البشرية — مسير الرواتب</t>
        </is>
      </c>
      <c r="C86" s="15" t="inlineStr">
        <is>
          <t>خصم GOSI مع سقف 45,000</t>
        </is>
      </c>
      <c r="D86" s="14" t="inlineStr">
        <is>
          <t>موظف سعودي أساسي+سكن = 60,000 ونسبته 9.75</t>
        </is>
      </c>
      <c r="E86" s="14" t="inlineStr">
        <is>
          <t>1. احسب المسير</t>
        </is>
      </c>
      <c r="F86" s="14" t="inlineStr">
        <is>
          <t>GOSI = 9.75% من 45,000 = 4,387.50 وليس من 60,000</t>
        </is>
      </c>
      <c r="G86" s="13" t="inlineStr">
        <is>
          <t>P1</t>
        </is>
      </c>
      <c r="H86" s="14" t="inlineStr">
        <is>
          <t>حالات حدّية</t>
        </is>
      </c>
      <c r="I86" s="13" t="inlineStr">
        <is>
          <t>لم يُختبر</t>
        </is>
      </c>
      <c r="J86" s="14" t="inlineStr"/>
      <c r="K86" s="13" t="inlineStr"/>
      <c r="L86" s="14" t="inlineStr"/>
    </row>
    <row r="87">
      <c r="A87" s="13" t="inlineStr">
        <is>
          <t>TC-D-086</t>
        </is>
      </c>
      <c r="B87" s="14" t="inlineStr">
        <is>
          <t>الموارد البشرية — مسير الرواتب</t>
        </is>
      </c>
      <c r="C87" s="15" t="inlineStr">
        <is>
          <t>اعتماد المسير من شخص ثانٍ يقفل الشهر</t>
        </is>
      </c>
      <c r="D87" s="14" t="inlineStr">
        <is>
          <t>مسير draft أعده A، و B لديه hr.approve</t>
        </is>
      </c>
      <c r="E87" s="14" t="inlineStr">
        <is>
          <t>1. يفتح B المسير ويعتمده</t>
        </is>
      </c>
      <c r="F87" s="14" t="inlineStr">
        <is>
          <t>approved، الشهر مقفل للإجازات والتسويات، إشعار للمعنيين، تدقيق approve</t>
        </is>
      </c>
      <c r="G87" s="13" t="inlineStr">
        <is>
          <t>P1</t>
        </is>
      </c>
      <c r="H87" s="14" t="inlineStr">
        <is>
          <t>وظيفي</t>
        </is>
      </c>
      <c r="I87" s="13" t="inlineStr">
        <is>
          <t>لم يُختبر</t>
        </is>
      </c>
      <c r="J87" s="14" t="inlineStr"/>
      <c r="K87" s="13" t="inlineStr"/>
      <c r="L87" s="14" t="inlineStr"/>
    </row>
    <row r="88">
      <c r="A88" s="13" t="inlineStr">
        <is>
          <t>TC-D-087</t>
        </is>
      </c>
      <c r="B88" s="14" t="inlineStr">
        <is>
          <t>الموارد البشرية — مسير الرواتب</t>
        </is>
      </c>
      <c r="C88" s="15" t="inlineStr">
        <is>
          <t>معدّ المسير لا يعتمده</t>
        </is>
      </c>
      <c r="D88" s="14" t="inlineStr">
        <is>
          <t>A أعد المسير ولديه hr.approve (ليس owner)</t>
        </is>
      </c>
      <c r="E88" s="14" t="inlineStr">
        <is>
          <t>1. A يحاول الاعتماد</t>
        </is>
      </c>
      <c r="F88" s="14" t="inlineStr">
        <is>
          <t>رفض 403 «you prepared this payroll — another approver must approve it»</t>
        </is>
      </c>
      <c r="G88" s="13" t="inlineStr">
        <is>
          <t>P1</t>
        </is>
      </c>
      <c r="H88" s="14" t="inlineStr">
        <is>
          <t>صلاحيات</t>
        </is>
      </c>
      <c r="I88" s="13" t="inlineStr">
        <is>
          <t>لم يُختبر</t>
        </is>
      </c>
      <c r="J88" s="14" t="inlineStr"/>
      <c r="K88" s="13" t="inlineStr"/>
      <c r="L88" s="14" t="inlineStr"/>
    </row>
    <row r="89">
      <c r="A89" s="13" t="inlineStr">
        <is>
          <t>TC-D-088</t>
        </is>
      </c>
      <c r="B89" s="14" t="inlineStr">
        <is>
          <t>الموارد البشرية — مسير الرواتب</t>
        </is>
      </c>
      <c r="C89" s="15" t="inlineStr">
        <is>
          <t>الاعتماد يعيد الحساب ويرفض إذا تغيرت الأرقام</t>
        </is>
      </c>
      <c r="D89" s="14" t="inlineStr">
        <is>
          <t>B فتح المسير؛ ثم أُضيف خصم لموظف</t>
        </is>
      </c>
      <c r="E89" s="14" t="inlineStr">
        <is>
          <t>1. B يضغط اعتماد بـ expectedNet القديم
2. يراجع ويضغط اعتماد مجددًا</t>
        </is>
      </c>
      <c r="F89" s="14" t="inlineStr">
        <is>
          <t>المحاولة الأولى 409 «leave or adjustments changed since you opened it…» مع الأرقام الجديدة؛ الثانية تنجح</t>
        </is>
      </c>
      <c r="G89" s="13" t="inlineStr">
        <is>
          <t>P1</t>
        </is>
      </c>
      <c r="H89" s="14" t="inlineStr">
        <is>
          <t>حالات حدّية</t>
        </is>
      </c>
      <c r="I89" s="13" t="inlineStr">
        <is>
          <t>لم يُختبر</t>
        </is>
      </c>
      <c r="J89" s="14" t="inlineStr"/>
      <c r="K89" s="13" t="inlineStr"/>
      <c r="L89" s="14" t="inlineStr"/>
    </row>
    <row r="90">
      <c r="A90" s="13" t="inlineStr">
        <is>
          <t>TC-D-089</t>
        </is>
      </c>
      <c r="B90" s="14" t="inlineStr">
        <is>
          <t>الموارد البشرية — مسير الرواتب</t>
        </is>
      </c>
      <c r="C90" s="15" t="inlineStr">
        <is>
          <t>تسجيل الدفع</t>
        </is>
      </c>
      <c r="D90" s="14" t="inlineStr">
        <is>
          <t>مسير approved</t>
        </is>
      </c>
      <c r="E90" s="14" t="inlineStr">
        <is>
          <t>1. اضغط تم الدفع
2. حاول مرة أخرى
3. حاول على مسير draft</t>
        </is>
      </c>
      <c r="F90" s="14" t="inlineStr">
        <is>
          <t>الأول paid؛ الثاني 409 «already marked paid»؛ الثالث 409 «approve the payroll first»</t>
        </is>
      </c>
      <c r="G90" s="13" t="inlineStr">
        <is>
          <t>P1</t>
        </is>
      </c>
      <c r="H90" s="14" t="inlineStr">
        <is>
          <t>وظيفي</t>
        </is>
      </c>
      <c r="I90" s="13" t="inlineStr">
        <is>
          <t>لم يُختبر</t>
        </is>
      </c>
      <c r="J90" s="14" t="inlineStr"/>
      <c r="K90" s="13" t="inlineStr"/>
      <c r="L90" s="14" t="inlineStr"/>
    </row>
    <row r="91">
      <c r="A91" s="13" t="inlineStr">
        <is>
          <t>TC-D-090</t>
        </is>
      </c>
      <c r="B91" s="14" t="inlineStr">
        <is>
          <t>الموارد البشرية — مسير الرواتب</t>
        </is>
      </c>
      <c r="C91" s="15" t="inlineStr">
        <is>
          <t>تصدير CSV للبنك</t>
        </is>
      </c>
      <c r="D91" s="14" t="inlineStr">
        <is>
          <t>مسير approved بموظف اسمه يحتوي فاصلة واقتباس "</t>
        </is>
      </c>
      <c r="E91" s="14" t="inlineStr">
        <is>
          <t>1. حمّل CSV</t>
        </is>
      </c>
      <c r="F91" s="14" t="inlineStr">
        <is>
          <t>ملف payroll-YYYY-MM.csv يُفتح في Excel بالعربية سليمًا (UTF-8)، الحقول مقتبسة والاقتباس مضاعف، يحتوي IBAN والصافي</t>
        </is>
      </c>
      <c r="G91" s="13" t="inlineStr">
        <is>
          <t>P1</t>
        </is>
      </c>
      <c r="H91" s="14" t="inlineStr">
        <is>
          <t>تكامل</t>
        </is>
      </c>
      <c r="I91" s="13" t="inlineStr">
        <is>
          <t>لم يُختبر</t>
        </is>
      </c>
      <c r="J91" s="14" t="inlineStr"/>
      <c r="K91" s="13" t="inlineStr"/>
      <c r="L91" s="14" t="inlineStr"/>
    </row>
    <row r="92">
      <c r="A92" s="13" t="inlineStr">
        <is>
          <t>TC-D-091</t>
        </is>
      </c>
      <c r="B92" s="14" t="inlineStr">
        <is>
          <t>الموارد البشرية — مسير الرواتب</t>
        </is>
      </c>
      <c r="C92" s="15" t="inlineStr">
        <is>
          <t>دور hr يعد ولا يعتمد</t>
        </is>
      </c>
      <c r="D92" s="14" t="inlineStr">
        <is>
          <t>دور hr الافتراضي (hr.read, hr.write)</t>
        </is>
      </c>
      <c r="E92" s="14" t="inlineStr">
        <is>
          <t>1. أعد مسيرًا
2. حاول الاعتماد أو تم الدفع</t>
        </is>
      </c>
      <c r="F92" s="14" t="inlineStr">
        <is>
          <t>الإعداد ينجح؛ الاعتماد والدفع 403</t>
        </is>
      </c>
      <c r="G92" s="13" t="inlineStr">
        <is>
          <t>P1</t>
        </is>
      </c>
      <c r="H92" s="14" t="inlineStr">
        <is>
          <t>صلاحيات</t>
        </is>
      </c>
      <c r="I92" s="13" t="inlineStr">
        <is>
          <t>لم يُختبر</t>
        </is>
      </c>
      <c r="J92" s="14" t="inlineStr"/>
      <c r="K92" s="13" t="inlineStr"/>
      <c r="L92" s="14" t="inlineStr"/>
    </row>
    <row r="93">
      <c r="A93" s="13" t="inlineStr">
        <is>
          <t>TC-D-092</t>
        </is>
      </c>
      <c r="B93" s="14" t="inlineStr">
        <is>
          <t>الموارد البشرية — مسير الرواتب</t>
        </is>
      </c>
      <c r="C93" s="15" t="inlineStr">
        <is>
          <t>GOSI لغير السعودي صفر</t>
        </is>
      </c>
      <c r="D93" s="14" t="inlineStr">
        <is>
          <t>موظف غير سعودي بنسبة 0</t>
        </is>
      </c>
      <c r="E93" s="14" t="inlineStr">
        <is>
          <t>1. احسب المسير</t>
        </is>
      </c>
      <c r="F93" s="14" t="inlineStr">
        <is>
          <t>لا خصم GOSI</t>
        </is>
      </c>
      <c r="G93" s="13" t="inlineStr">
        <is>
          <t>P2</t>
        </is>
      </c>
      <c r="H93" s="14" t="inlineStr">
        <is>
          <t>وظيفي</t>
        </is>
      </c>
      <c r="I93" s="13" t="inlineStr">
        <is>
          <t>لم يُختبر</t>
        </is>
      </c>
      <c r="J93" s="14" t="inlineStr"/>
      <c r="K93" s="13" t="inlineStr"/>
      <c r="L93" s="14" t="inlineStr"/>
    </row>
    <row r="94">
      <c r="A94" s="13" t="inlineStr">
        <is>
          <t>TC-D-093</t>
        </is>
      </c>
      <c r="B94" s="14" t="inlineStr">
        <is>
          <t>الموارد البشرية — مسير الرواتب</t>
        </is>
      </c>
      <c r="C94" s="15" t="inlineStr">
        <is>
          <t>الخصومات تتجاوز الإجمالي</t>
        </is>
      </c>
      <c r="D94" s="14" t="inlineStr">
        <is>
          <t>خصومات وإجازة بدون أجر أكبر من الإجمالي</t>
        </is>
      </c>
      <c r="E94" s="14" t="inlineStr">
        <is>
          <t>1. احسب المسير</t>
        </is>
      </c>
      <c r="F94" s="14" t="inlineStr">
        <is>
          <t>الصافي = 0 (لا سالب) مع تحذير deductions_exceed_pay</t>
        </is>
      </c>
      <c r="G94" s="13" t="inlineStr">
        <is>
          <t>P2</t>
        </is>
      </c>
      <c r="H94" s="14" t="inlineStr">
        <is>
          <t>حالات حدّية</t>
        </is>
      </c>
      <c r="I94" s="13" t="inlineStr">
        <is>
          <t>لم يُختبر</t>
        </is>
      </c>
      <c r="J94" s="14" t="inlineStr"/>
      <c r="K94" s="13" t="inlineStr"/>
      <c r="L94" s="14" t="inlineStr"/>
    </row>
    <row r="95">
      <c r="A95" s="13" t="inlineStr">
        <is>
          <t>TC-D-094</t>
        </is>
      </c>
      <c r="B95" s="14" t="inlineStr">
        <is>
          <t>الموارد البشرية — مسير الرواتب</t>
        </is>
      </c>
      <c r="C95" s="15" t="inlineStr">
        <is>
          <t>الموظف الموقوف يظهر بتحذير</t>
        </is>
      </c>
      <c r="D95" s="14" t="inlineStr">
        <is>
          <t>موظف suspended</t>
        </is>
      </c>
      <c r="E95" s="14" t="inlineStr">
        <is>
          <t>1. احسب المسير</t>
        </is>
      </c>
      <c r="F95" s="14" t="inlineStr">
        <is>
          <t>يظهر في المسير مع تحذير suspended لمراجعة القرار</t>
        </is>
      </c>
      <c r="G95" s="13" t="inlineStr">
        <is>
          <t>P2</t>
        </is>
      </c>
      <c r="H95" s="14" t="inlineStr">
        <is>
          <t>وظيفي</t>
        </is>
      </c>
      <c r="I95" s="13" t="inlineStr">
        <is>
          <t>لم يُختبر</t>
        </is>
      </c>
      <c r="J95" s="14" t="inlineStr"/>
      <c r="K95" s="13" t="inlineStr"/>
      <c r="L95" s="14" t="inlineStr"/>
    </row>
    <row r="96">
      <c r="A96" s="13" t="inlineStr">
        <is>
          <t>TC-D-095</t>
        </is>
      </c>
      <c r="B96" s="14" t="inlineStr">
        <is>
          <t>الموارد البشرية — مسير الرواتب</t>
        </is>
      </c>
      <c r="C96" s="15" t="inlineStr">
        <is>
          <t>إعداد شهر معتمد مسبقًا</t>
        </is>
      </c>
      <c r="D96" s="14" t="inlineStr">
        <is>
          <t>مسير 2026-09 approved</t>
        </is>
      </c>
      <c r="E96" s="14" t="inlineStr">
        <is>
          <t>1. حاول POST مسير 2026-09 مجددًا</t>
        </is>
      </c>
      <c r="F96" s="14" t="inlineStr">
        <is>
          <t>رفض 409 «the 2026-09 payroll is already approved»</t>
        </is>
      </c>
      <c r="G96" s="13" t="inlineStr">
        <is>
          <t>P2</t>
        </is>
      </c>
      <c r="H96" s="14" t="inlineStr">
        <is>
          <t>حالات حدّية</t>
        </is>
      </c>
      <c r="I96" s="13" t="inlineStr">
        <is>
          <t>لم يُختبر</t>
        </is>
      </c>
      <c r="J96" s="14" t="inlineStr"/>
      <c r="K96" s="13" t="inlineStr"/>
      <c r="L96" s="14" t="inlineStr"/>
    </row>
    <row r="97">
      <c r="A97" s="13" t="inlineStr">
        <is>
          <t>TC-D-096</t>
        </is>
      </c>
      <c r="B97" s="14" t="inlineStr">
        <is>
          <t>الموارد البشرية — مسير الرواتب</t>
        </is>
      </c>
      <c r="C97" s="15" t="inlineStr">
        <is>
          <t>حذف المسير المسودة فقط</t>
        </is>
      </c>
      <c r="D97" s="14" t="inlineStr">
        <is>
          <t>مسير draft وآخر approved</t>
        </is>
      </c>
      <c r="E97" s="14" t="inlineStr">
        <is>
          <t>1. احذف كلًا منهما</t>
        </is>
      </c>
      <c r="F97" s="14" t="inlineStr">
        <is>
          <t>المسودة تُحذف؛ المعتمد 409 «only a draft payroll can be deleted»</t>
        </is>
      </c>
      <c r="G97" s="13" t="inlineStr">
        <is>
          <t>P2</t>
        </is>
      </c>
      <c r="H97" s="14" t="inlineStr">
        <is>
          <t>وظيفي</t>
        </is>
      </c>
      <c r="I97" s="13" t="inlineStr">
        <is>
          <t>لم يُختبر</t>
        </is>
      </c>
      <c r="J97" s="14" t="inlineStr"/>
      <c r="K97" s="13" t="inlineStr"/>
      <c r="L97" s="14" t="inlineStr"/>
    </row>
    <row r="98">
      <c r="A98" s="13" t="inlineStr">
        <is>
          <t>TC-D-097</t>
        </is>
      </c>
      <c r="B98" s="14" t="inlineStr">
        <is>
          <t>الموارد البشرية — مسير الرواتب</t>
        </is>
      </c>
      <c r="C98" s="15" t="inlineStr">
        <is>
          <t>حقن صيغ في CSV</t>
        </is>
      </c>
      <c r="D98" s="14" t="inlineStr">
        <is>
          <t>موظف اسمه =HYPERLINK(...)</t>
        </is>
      </c>
      <c r="E98" s="14" t="inlineStr">
        <is>
          <t>1. حمّل CSV وافتحه في Excel</t>
        </is>
      </c>
      <c r="F98" s="14" t="inlineStr">
        <is>
          <t>تظهر القيمة نصًا تبدأ بـ ' في Excel ولا تُنفَّذ كصيغة</t>
        </is>
      </c>
      <c r="G98" s="13" t="inlineStr">
        <is>
          <t>P2</t>
        </is>
      </c>
      <c r="H98" s="14" t="inlineStr">
        <is>
          <t>أمان</t>
        </is>
      </c>
      <c r="I98" s="13" t="inlineStr">
        <is>
          <t>لم يُختبر</t>
        </is>
      </c>
      <c r="J98" s="14" t="inlineStr"/>
      <c r="K98" s="13" t="inlineStr"/>
      <c r="L98" s="14" t="inlineStr"/>
    </row>
    <row r="99">
      <c r="A99" s="13" t="inlineStr">
        <is>
          <t>TC-D-098</t>
        </is>
      </c>
      <c r="B99" s="14" t="inlineStr">
        <is>
          <t>الموارد البشرية — مسير الرواتب</t>
        </is>
      </c>
      <c r="C99" s="15" t="inlineStr">
        <is>
          <t>إشعار الموظف بصرف راتبه</t>
        </is>
      </c>
      <c r="D99" s="14" t="inlineStr">
        <is>
          <t>مسير approved وموظف مرتبط بحساب</t>
        </is>
      </c>
      <c r="E99" s="14" t="inlineStr">
        <is>
          <t>1. افتح /hr/me للموظف</t>
        </is>
      </c>
      <c r="F99" s="14" t="inlineStr">
        <is>
          <t>بعد «تسجيل الصرف» يصل لكل موظف مرتبط بحساب إشعار «صُرف راتب الشهر: الصافي»، ولا يرى رواتب غيره في /hr/me (لا توجد قسيمة PDF بعد)</t>
        </is>
      </c>
      <c r="G99" s="13" t="inlineStr">
        <is>
          <t>P2</t>
        </is>
      </c>
      <c r="H99" s="14" t="inlineStr">
        <is>
          <t>أمان</t>
        </is>
      </c>
      <c r="I99" s="13" t="inlineStr">
        <is>
          <t>لم يُختبر</t>
        </is>
      </c>
      <c r="J99" s="14" t="inlineStr"/>
      <c r="K99" s="13" t="inlineStr"/>
      <c r="L99" s="14" t="inlineStr"/>
    </row>
    <row r="100">
      <c r="A100" s="13" t="inlineStr">
        <is>
          <t>TC-D-099</t>
        </is>
      </c>
      <c r="B100" s="14" t="inlineStr">
        <is>
          <t>المشتريات</t>
        </is>
      </c>
      <c r="C100" s="15" t="inlineStr">
        <is>
          <t>طلب مواد من BOQ المشروع مع تفكيك الأطقم</t>
        </is>
      </c>
      <c r="D100" s="14" t="inlineStr">
        <is>
          <t>مشروع بعرض يحتوي طقم (kit) من 3 مكونات</t>
        </is>
      </c>
      <c r="E100" s="14" t="inlineStr">
        <is>
          <t>1. من المشروع اضغط إنشاء طلب مواد</t>
        </is>
      </c>
      <c r="F100" s="14" t="inlineStr">
        <is>
          <t>يُنشأ MR بمكونات الطقم مفككة بالكميات × الكمية، مع خصم المتوفر/المحجوز (planMaterials)</t>
        </is>
      </c>
      <c r="G100" s="13" t="inlineStr">
        <is>
          <t>P1</t>
        </is>
      </c>
      <c r="H100" s="14" t="inlineStr">
        <is>
          <t>وظيفي</t>
        </is>
      </c>
      <c r="I100" s="13" t="inlineStr">
        <is>
          <t>لم يُختبر</t>
        </is>
      </c>
      <c r="J100" s="14" t="inlineStr"/>
      <c r="K100" s="13" t="inlineStr"/>
      <c r="L100" s="14" t="inlineStr"/>
    </row>
    <row r="101">
      <c r="A101" s="13" t="inlineStr">
        <is>
          <t>TC-D-100</t>
        </is>
      </c>
      <c r="B101" s="14" t="inlineStr">
        <is>
          <t>المشتريات</t>
        </is>
      </c>
      <c r="C101" s="15" t="inlineStr">
        <is>
          <t>PO بعملة أجنبية وIncoterm</t>
        </is>
      </c>
      <c r="D101" s="14" t="inlineStr">
        <is>
          <t>purchase.write</t>
        </is>
      </c>
      <c r="E101" s="14" t="inlineStr">
        <is>
          <t>1. أنشئ PO بالدولار، Incoterm FOB، بدون rateToSar
2. أعد بسعر 3.75</t>
        </is>
      </c>
      <c r="F101" s="14" t="inlineStr">
        <is>
          <t>الأول 400 «give the SAR rate for USD»؛ الثاني يُحفظ وتظهر المبالغ بالريال</t>
        </is>
      </c>
      <c r="G101" s="13" t="inlineStr">
        <is>
          <t>P1</t>
        </is>
      </c>
      <c r="H101" s="14" t="inlineStr">
        <is>
          <t>تحقق من المدخلات</t>
        </is>
      </c>
      <c r="I101" s="13" t="inlineStr">
        <is>
          <t>لم يُختبر</t>
        </is>
      </c>
      <c r="J101" s="14" t="inlineStr"/>
      <c r="K101" s="13" t="inlineStr"/>
      <c r="L101" s="14" t="inlineStr"/>
    </row>
    <row r="102">
      <c r="A102" s="13" t="inlineStr">
        <is>
          <t>TC-D-101</t>
        </is>
      </c>
      <c r="B102" s="14" t="inlineStr">
        <is>
          <t>المشتريات</t>
        </is>
      </c>
      <c r="C102" s="15" t="inlineStr">
        <is>
          <t>اعتماد PO ≤ 5,000 من المشتري</t>
        </is>
      </c>
      <c r="D102" s="14" t="inlineStr">
        <is>
          <t>PO بإجمالي 5,000.00 أعده مستخدم A، و B بدور purchaser</t>
        </is>
      </c>
      <c r="E102" s="14" t="inlineStr">
        <is>
          <t>1. B يعتمد</t>
        </is>
      </c>
      <c r="F102" s="14" t="inlineStr">
        <is>
          <t>ينجح؛ approverRole = purchaser</t>
        </is>
      </c>
      <c r="G102" s="13" t="inlineStr">
        <is>
          <t>P1</t>
        </is>
      </c>
      <c r="H102" s="14" t="inlineStr">
        <is>
          <t>حالات حدّية</t>
        </is>
      </c>
      <c r="I102" s="13" t="inlineStr">
        <is>
          <t>لم يُختبر</t>
        </is>
      </c>
      <c r="J102" s="14" t="inlineStr"/>
      <c r="K102" s="13" t="inlineStr"/>
      <c r="L102" s="14" t="inlineStr"/>
    </row>
    <row r="103">
      <c r="A103" s="13" t="inlineStr">
        <is>
          <t>TC-D-102</t>
        </is>
      </c>
      <c r="B103" s="14" t="inlineStr">
        <is>
          <t>المشتريات</t>
        </is>
      </c>
      <c r="C103" s="15" t="inlineStr">
        <is>
          <t>PO بـ 5,000.01 يحتاج المدير العام</t>
        </is>
      </c>
      <c r="D103" s="14" t="inlineStr">
        <is>
          <t>PO 5,000.01</t>
        </is>
      </c>
      <c r="E103" s="14" t="inlineStr">
        <is>
          <t>1. purchaser يحاول الاعتماد
2. general_manager يعتمد</t>
        </is>
      </c>
      <c r="F103" s="14" t="inlineStr">
        <is>
          <t>الأول مرفوض/الزر مخفي (canApprove=false)؛ الثاني ينجح</t>
        </is>
      </c>
      <c r="G103" s="13" t="inlineStr">
        <is>
          <t>P1</t>
        </is>
      </c>
      <c r="H103" s="14" t="inlineStr">
        <is>
          <t>حالات حدّية</t>
        </is>
      </c>
      <c r="I103" s="13" t="inlineStr">
        <is>
          <t>لم يُختبر</t>
        </is>
      </c>
      <c r="J103" s="14" t="inlineStr"/>
      <c r="K103" s="13" t="inlineStr"/>
      <c r="L103" s="14" t="inlineStr"/>
    </row>
    <row r="104">
      <c r="A104" s="13" t="inlineStr">
        <is>
          <t>TC-D-103</t>
        </is>
      </c>
      <c r="B104" s="14" t="inlineStr">
        <is>
          <t>المشتريات</t>
        </is>
      </c>
      <c r="C104" s="15" t="inlineStr">
        <is>
          <t>PO أكبر من 20,000 للمالك فقط</t>
        </is>
      </c>
      <c r="D104" s="14" t="inlineStr">
        <is>
          <t>PO 20,000.01</t>
        </is>
      </c>
      <c r="E104" s="14" t="inlineStr">
        <is>
          <t>1. general_manager يحاول
2. owner يعتمد</t>
        </is>
      </c>
      <c r="F104" s="14" t="inlineStr">
        <is>
          <t>الأول مرفوض؛ الثاني ينجح</t>
        </is>
      </c>
      <c r="G104" s="13" t="inlineStr">
        <is>
          <t>P1</t>
        </is>
      </c>
      <c r="H104" s="14" t="inlineStr">
        <is>
          <t>حالات حدّية</t>
        </is>
      </c>
      <c r="I104" s="13" t="inlineStr">
        <is>
          <t>لم يُختبر</t>
        </is>
      </c>
      <c r="J104" s="14" t="inlineStr"/>
      <c r="K104" s="13" t="inlineStr"/>
      <c r="L104" s="14" t="inlineStr"/>
    </row>
    <row r="105">
      <c r="A105" s="13" t="inlineStr">
        <is>
          <t>TC-D-104</t>
        </is>
      </c>
      <c r="B105" s="14" t="inlineStr">
        <is>
          <t>المشتريات</t>
        </is>
      </c>
      <c r="C105" s="15" t="inlineStr">
        <is>
          <t>منشئ PO لا يعتمده</t>
        </is>
      </c>
      <c r="D105" s="14" t="inlineStr">
        <is>
          <t>owner أنشأ PO</t>
        </is>
      </c>
      <c r="E105" s="14" t="inlineStr">
        <is>
          <t>1. owner يحاول اعتماد أمره</t>
        </is>
      </c>
      <c r="F105" s="14" t="inlineStr">
        <is>
          <t>غير مسموح (canApprove=false، 403) — المنشئ ≠ المعتمد</t>
        </is>
      </c>
      <c r="G105" s="13" t="inlineStr">
        <is>
          <t>P1</t>
        </is>
      </c>
      <c r="H105" s="14" t="inlineStr">
        <is>
          <t>صلاحيات</t>
        </is>
      </c>
      <c r="I105" s="13" t="inlineStr">
        <is>
          <t>لم يُختبر</t>
        </is>
      </c>
      <c r="J105" s="14" t="inlineStr"/>
      <c r="K105" s="13" t="inlineStr"/>
      <c r="L105" s="14" t="inlineStr"/>
    </row>
    <row r="106">
      <c r="A106" s="13" t="inlineStr">
        <is>
          <t>TC-D-105</t>
        </is>
      </c>
      <c r="B106" s="14" t="inlineStr">
        <is>
          <t>المشتريات</t>
        </is>
      </c>
      <c r="C106" s="15" t="inlineStr">
        <is>
          <t>حظر الاعتماد لعدم وجود SABER/CST</t>
        </is>
      </c>
      <c r="D106" s="14" t="inlineStr">
        <is>
          <t>PO بمنتج لاسلكي بلا شهادة CST أو PCoC منتهية</t>
        </is>
      </c>
      <c r="E106" s="14" t="inlineStr">
        <is>
          <t>1. حاول الاعتماد
2. أعد مع acknowledgeCompliance وملاحظة</t>
        </is>
      </c>
      <c r="F106" s="14" t="inlineStr">
        <is>
          <t>الأول 400 «compliance certificates missing or expired…» مع القائمة؛ الثاني ينجح وتدقيق complianceAcknowledged = true</t>
        </is>
      </c>
      <c r="G106" s="13" t="inlineStr">
        <is>
          <t>P1</t>
        </is>
      </c>
      <c r="H106" s="14" t="inlineStr">
        <is>
          <t>حالات حدّية</t>
        </is>
      </c>
      <c r="I106" s="13" t="inlineStr">
        <is>
          <t>لم يُختبر</t>
        </is>
      </c>
      <c r="J106" s="14" t="inlineStr"/>
      <c r="K106" s="13" t="inlineStr"/>
      <c r="L106" s="14" t="inlineStr"/>
    </row>
    <row r="107">
      <c r="A107" s="13" t="inlineStr">
        <is>
          <t>TC-D-106</t>
        </is>
      </c>
      <c r="B107" s="14" t="inlineStr">
        <is>
          <t>المشتريات</t>
        </is>
      </c>
      <c r="C107" s="15" t="inlineStr">
        <is>
          <t>استلام بضاعة بأرقام تسلسلية وMAC</t>
        </is>
      </c>
      <c r="D107" s="14" t="inlineStr">
        <is>
          <t>PO approved بمنتج serial-tracked كمية 3</t>
        </is>
      </c>
      <c r="E107" s="14" t="inlineStr">
        <is>
          <t>1. استلم 3 مع قائمة «serial,mac» ملصوقة</t>
        </is>
      </c>
      <c r="F107" s="14" t="inlineStr">
        <is>
          <t>إذن استلام GRN، 3 أرقام تسلسلية في المخزون بـ MAC بصيغة موحدة، حالة PO partially_received/received</t>
        </is>
      </c>
      <c r="G107" s="13" t="inlineStr">
        <is>
          <t>P1</t>
        </is>
      </c>
      <c r="H107" s="14" t="inlineStr">
        <is>
          <t>وظيفي</t>
        </is>
      </c>
      <c r="I107" s="13" t="inlineStr">
        <is>
          <t>لم يُختبر</t>
        </is>
      </c>
      <c r="J107" s="14" t="inlineStr"/>
      <c r="K107" s="13" t="inlineStr"/>
      <c r="L107" s="14" t="inlineStr"/>
    </row>
    <row r="108">
      <c r="A108" s="13" t="inlineStr">
        <is>
          <t>TC-D-107</t>
        </is>
      </c>
      <c r="B108" s="14" t="inlineStr">
        <is>
          <t>المشتريات</t>
        </is>
      </c>
      <c r="C108" s="15" t="inlineStr">
        <is>
          <t>MAC غير صالح أو عدد تسلسلات خاطئ</t>
        </is>
      </c>
      <c r="D108" s="14" t="inlineStr">
        <is>
          <t>نفس المسبق</t>
        </is>
      </c>
      <c r="E108" s="14" t="inlineStr">
        <is>
          <t>1. أرسل MAC «ZZ:11» 
2. أرسل كمية 3 بتسلسلين</t>
        </is>
      </c>
      <c r="F108" s="14" t="inlineStr">
        <is>
          <t>400 مع قائمة الأخطاء برقم السطر؛ 400 «3 serial number(s) needed, 2 given»</t>
        </is>
      </c>
      <c r="G108" s="13" t="inlineStr">
        <is>
          <t>P1</t>
        </is>
      </c>
      <c r="H108" s="14" t="inlineStr">
        <is>
          <t>تحقق من المدخلات</t>
        </is>
      </c>
      <c r="I108" s="13" t="inlineStr">
        <is>
          <t>لم يُختبر</t>
        </is>
      </c>
      <c r="J108" s="14" t="inlineStr"/>
      <c r="K108" s="13" t="inlineStr"/>
      <c r="L108" s="14" t="inlineStr"/>
    </row>
    <row r="109">
      <c r="A109" s="13" t="inlineStr">
        <is>
          <t>TC-D-108</t>
        </is>
      </c>
      <c r="B109" s="14" t="inlineStr">
        <is>
          <t>المشتريات</t>
        </is>
      </c>
      <c r="C109" s="15" t="inlineStr">
        <is>
          <t>رقم تسلسلي مكرر</t>
        </is>
      </c>
      <c r="D109" s="14" t="inlineStr">
        <is>
          <t>تسلسل موجود مسبقًا في المخزون</t>
        </is>
      </c>
      <c r="E109" s="14" t="inlineStr">
        <is>
          <t>1. استلم بنفس التسلسل
2. أو كرره داخل نفس الاستلام</t>
        </is>
      </c>
      <c r="F109" s="14" t="inlineStr">
        <is>
          <t>409 «serial number(s) already registered» / «appears twice in this receipt»</t>
        </is>
      </c>
      <c r="G109" s="13" t="inlineStr">
        <is>
          <t>P1</t>
        </is>
      </c>
      <c r="H109" s="14" t="inlineStr">
        <is>
          <t>تحقق من المدخلات</t>
        </is>
      </c>
      <c r="I109" s="13" t="inlineStr">
        <is>
          <t>لم يُختبر</t>
        </is>
      </c>
      <c r="J109" s="14" t="inlineStr"/>
      <c r="K109" s="13" t="inlineStr"/>
      <c r="L109" s="14" t="inlineStr"/>
    </row>
    <row r="110">
      <c r="A110" s="13" t="inlineStr">
        <is>
          <t>TC-D-109</t>
        </is>
      </c>
      <c r="B110" s="14" t="inlineStr">
        <is>
          <t>المشتريات</t>
        </is>
      </c>
      <c r="C110" s="15" t="inlineStr">
        <is>
          <t>استلام أكثر من المفتوح</t>
        </is>
      </c>
      <c r="D110" s="14" t="inlineStr">
        <is>
          <t>PO سطر 10 استُلم منه 8</t>
        </is>
      </c>
      <c r="E110" s="14" t="inlineStr">
        <is>
          <t>1. استلم 3</t>
        </is>
      </c>
      <c r="F110" s="14" t="inlineStr">
        <is>
          <t>400 «3 received but only 2 still open on the order»</t>
        </is>
      </c>
      <c r="G110" s="13" t="inlineStr">
        <is>
          <t>P1</t>
        </is>
      </c>
      <c r="H110" s="14" t="inlineStr">
        <is>
          <t>حالات حدّية</t>
        </is>
      </c>
      <c r="I110" s="13" t="inlineStr">
        <is>
          <t>لم يُختبر</t>
        </is>
      </c>
      <c r="J110" s="14" t="inlineStr"/>
      <c r="K110" s="13" t="inlineStr"/>
      <c r="L110" s="14" t="inlineStr"/>
    </row>
    <row r="111">
      <c r="A111" s="13" t="inlineStr">
        <is>
          <t>TC-D-110</t>
        </is>
      </c>
      <c r="B111" s="14" t="inlineStr">
        <is>
          <t>المشتريات</t>
        </is>
      </c>
      <c r="C111" s="15" t="inlineStr">
        <is>
          <t>شحنة استيراد وتكلفة الهبوط</t>
        </is>
      </c>
      <c r="D111" s="14" t="inlineStr">
        <is>
          <t>PO بالدولار وشحنة ببوليصة B/L</t>
        </is>
      </c>
      <c r="E111" s="14" t="inlineStr">
        <is>
          <t>1. سجّل الشحنة وB/L والمستندات
2. استلم البضاعة مع shipmentId
3. سجّل بيان فسح الجمركي (رسوم 5%)
4. وزّع تكلفة الهبوط</t>
        </is>
      </c>
      <c r="F111" s="14" t="inlineStr">
        <is>
          <t>تُوزع الرسوم والمصاريف على السطور حسب الأساس المختار، ويتعدل متوسط التكلفة؛ المحاولة الثانية 409 «already posted»</t>
        </is>
      </c>
      <c r="G111" s="13" t="inlineStr">
        <is>
          <t>P1</t>
        </is>
      </c>
      <c r="H111" s="14" t="inlineStr">
        <is>
          <t>تكامل</t>
        </is>
      </c>
      <c r="I111" s="13" t="inlineStr">
        <is>
          <t>لم يُختبر</t>
        </is>
      </c>
      <c r="J111" s="14" t="inlineStr"/>
      <c r="K111" s="13" t="inlineStr"/>
      <c r="L111" s="14" t="inlineStr"/>
    </row>
    <row r="112">
      <c r="A112" s="13" t="inlineStr">
        <is>
          <t>TC-D-111</t>
        </is>
      </c>
      <c r="B112" s="14" t="inlineStr">
        <is>
          <t>المشتريات</t>
        </is>
      </c>
      <c r="C112" s="15" t="inlineStr">
        <is>
          <t>فاتورة مورد بمطابقة ثلاثية ناجحة</t>
        </is>
      </c>
      <c r="D112" s="14" t="inlineStr">
        <is>
          <t>PO 10 مستلم 10</t>
        </is>
      </c>
      <c r="E112" s="14" t="inlineStr">
        <is>
          <t>1. أدخل فاتورة 10 بنفس السعر</t>
        </is>
      </c>
      <c r="F112" s="14" t="inlineStr">
        <is>
          <t>matchStatus = matched والحالة approved</t>
        </is>
      </c>
      <c r="G112" s="13" t="inlineStr">
        <is>
          <t>P1</t>
        </is>
      </c>
      <c r="H112" s="14" t="inlineStr">
        <is>
          <t>وظيفي</t>
        </is>
      </c>
      <c r="I112" s="13" t="inlineStr">
        <is>
          <t>لم يُختبر</t>
        </is>
      </c>
      <c r="J112" s="14" t="inlineStr"/>
      <c r="K112" s="13" t="inlineStr"/>
      <c r="L112" s="14" t="inlineStr"/>
    </row>
    <row r="113">
      <c r="A113" s="13" t="inlineStr">
        <is>
          <t>TC-D-112</t>
        </is>
      </c>
      <c r="B113" s="14" t="inlineStr">
        <is>
          <t>المشتريات</t>
        </is>
      </c>
      <c r="C113" s="15" t="inlineStr">
        <is>
          <t>استثناء المطابقة الثلاثية</t>
        </is>
      </c>
      <c r="D113" s="14" t="inlineStr">
        <is>
          <t>مستلم 8</t>
        </is>
      </c>
      <c r="E113" s="14" t="inlineStr">
        <is>
          <t>1. أدخل فاتورة بكمية 10 (hr purchaser بلا purchase.approve) مع acceptException
2. أعد بمستخدم purchase.approve</t>
        </is>
      </c>
      <c r="F113" s="14" t="inlineStr">
        <is>
          <t>الأول 403؛ بدون قبول تبقى draft بـ exception «الكمية المفوترة أكبر من المستلمة»؛ الثاني approved</t>
        </is>
      </c>
      <c r="G113" s="13" t="inlineStr">
        <is>
          <t>P1</t>
        </is>
      </c>
      <c r="H113" s="14" t="inlineStr">
        <is>
          <t>حالات حدّية</t>
        </is>
      </c>
      <c r="I113" s="13" t="inlineStr">
        <is>
          <t>لم يُختبر</t>
        </is>
      </c>
      <c r="J113" s="14" t="inlineStr"/>
      <c r="K113" s="13" t="inlineStr"/>
      <c r="L113" s="14" t="inlineStr"/>
    </row>
    <row r="114">
      <c r="A114" s="13" t="inlineStr">
        <is>
          <t>TC-D-113</t>
        </is>
      </c>
      <c r="B114" s="14" t="inlineStr">
        <is>
          <t>المشتريات</t>
        </is>
      </c>
      <c r="C114" s="15" t="inlineStr">
        <is>
          <t>رقم فاتورة المورد مكرر</t>
        </is>
      </c>
      <c r="D114" s="14" t="inlineStr">
        <is>
          <t>فاتورة INV-77 مسجلة</t>
        </is>
      </c>
      <c r="E114" s="14" t="inlineStr">
        <is>
          <t>1. سجّل نفس الرقم لنفس المورد</t>
        </is>
      </c>
      <c r="F114" s="14" t="inlineStr">
        <is>
          <t>409 «supplier invoice INV-77 is already recorded»</t>
        </is>
      </c>
      <c r="G114" s="13" t="inlineStr">
        <is>
          <t>P1</t>
        </is>
      </c>
      <c r="H114" s="14" t="inlineStr">
        <is>
          <t>تحقق من المدخلات</t>
        </is>
      </c>
      <c r="I114" s="13" t="inlineStr">
        <is>
          <t>لم يُختبر</t>
        </is>
      </c>
      <c r="J114" s="14" t="inlineStr"/>
      <c r="K114" s="13" t="inlineStr"/>
      <c r="L114" s="14" t="inlineStr"/>
    </row>
    <row r="115">
      <c r="A115" s="13" t="inlineStr">
        <is>
          <t>TC-D-114</t>
        </is>
      </c>
      <c r="B115" s="14" t="inlineStr">
        <is>
          <t>المشتريات</t>
        </is>
      </c>
      <c r="C115" s="15" t="inlineStr">
        <is>
          <t>دفع للمورد جزئي ثم كامل</t>
        </is>
      </c>
      <c r="D115" s="14" t="inlineStr">
        <is>
          <t>فاتورة approved 11,500</t>
        </is>
      </c>
      <c r="E115" s="14" t="inlineStr">
        <is>
          <t>1. ادفع 5,000
2. ادفع 7,000
3. ادفع 6,500</t>
        </is>
      </c>
      <c r="F115" s="14" t="inlineStr">
        <is>
          <t>partially_paid ثم 400 «only 6,500.00 SAR is still owed» ثم paid</t>
        </is>
      </c>
      <c r="G115" s="13" t="inlineStr">
        <is>
          <t>P1</t>
        </is>
      </c>
      <c r="H115" s="14" t="inlineStr">
        <is>
          <t>وظيفي</t>
        </is>
      </c>
      <c r="I115" s="13" t="inlineStr">
        <is>
          <t>لم يُختبر</t>
        </is>
      </c>
      <c r="J115" s="14" t="inlineStr"/>
      <c r="K115" s="13" t="inlineStr"/>
      <c r="L115" s="14" t="inlineStr"/>
    </row>
    <row r="116">
      <c r="A116" s="13" t="inlineStr">
        <is>
          <t>TC-D-115</t>
        </is>
      </c>
      <c r="B116" s="14" t="inlineStr">
        <is>
          <t>المشتريات</t>
        </is>
      </c>
      <c r="C116" s="15" t="inlineStr">
        <is>
          <t>حجز المخزون للمشروع</t>
        </is>
      </c>
      <c r="D116" s="14" t="inlineStr">
        <is>
          <t>MR approved ومخزون متوفر</t>
        </is>
      </c>
      <c r="E116" s="14" t="inlineStr">
        <is>
          <t>1. احجز الكميات</t>
        </is>
      </c>
      <c r="F116" s="14" t="inlineStr">
        <is>
          <t>الكمية المتوقعة = المتوفر − المحجوز + الوارد؛ لا يمكن لمشروع آخر صرف المحجوز</t>
        </is>
      </c>
      <c r="G116" s="13" t="inlineStr">
        <is>
          <t>P2</t>
        </is>
      </c>
      <c r="H116" s="14" t="inlineStr">
        <is>
          <t>وظيفي</t>
        </is>
      </c>
      <c r="I116" s="13" t="inlineStr">
        <is>
          <t>لم يُختبر</t>
        </is>
      </c>
      <c r="J116" s="14" t="inlineStr"/>
      <c r="K116" s="13" t="inlineStr"/>
      <c r="L116" s="14" t="inlineStr"/>
    </row>
    <row r="117">
      <c r="A117" s="13" t="inlineStr">
        <is>
          <t>TC-D-116</t>
        </is>
      </c>
      <c r="B117" s="14" t="inlineStr">
        <is>
          <t>المشتريات</t>
        </is>
      </c>
      <c r="C117" s="15" t="inlineStr">
        <is>
          <t>إنشاء RFQ من طلب المواد وإرساله لعدة موردين</t>
        </is>
      </c>
      <c r="D117" s="14" t="inlineStr">
        <is>
          <t>MR بسطور مفتوحة</t>
        </is>
      </c>
      <c r="E117" s="14" t="inlineStr">
        <is>
          <t>1. أنشئ RFQ من MR
2. أرسله لموردين اثنين</t>
        </is>
      </c>
      <c r="F117" s="14" t="inlineStr">
        <is>
          <t>RFQ برقم جديد، الحالة sent؛ لا يمكن إنشاؤه إن كانت كل السطور مطلوبة («every line of the request is already on order»)</t>
        </is>
      </c>
      <c r="G117" s="13" t="inlineStr">
        <is>
          <t>P2</t>
        </is>
      </c>
      <c r="H117" s="14" t="inlineStr">
        <is>
          <t>وظيفي</t>
        </is>
      </c>
      <c r="I117" s="13" t="inlineStr">
        <is>
          <t>لم يُختبر</t>
        </is>
      </c>
      <c r="J117" s="14" t="inlineStr"/>
      <c r="K117" s="13" t="inlineStr"/>
      <c r="L117" s="14" t="inlineStr"/>
    </row>
    <row r="118">
      <c r="A118" s="13" t="inlineStr">
        <is>
          <t>TC-D-117</t>
        </is>
      </c>
      <c r="B118" s="14" t="inlineStr">
        <is>
          <t>المشتريات</t>
        </is>
      </c>
      <c r="C118" s="15" t="inlineStr">
        <is>
          <t>إدخال عروض الموردين ومقارنتها وترسيتها</t>
        </is>
      </c>
      <c r="D118" s="14" t="inlineStr">
        <is>
          <t>RFQ sent</t>
        </is>
      </c>
      <c r="E118" s="14" t="inlineStr">
        <is>
          <t>1. أدخل عرضين بعملتين مع rateToSar
2. افتح المقارنة
3. رسّ على الأرخص</t>
        </is>
      </c>
      <c r="F118" s="14" t="inlineStr">
        <is>
          <t>المقارنة بالريال؛ الترسية تنشئ PO؛ المقارنة 403 لمن لا يملك purchase.cost.read</t>
        </is>
      </c>
      <c r="G118" s="13" t="inlineStr">
        <is>
          <t>P2</t>
        </is>
      </c>
      <c r="H118" s="14" t="inlineStr">
        <is>
          <t>وظيفي</t>
        </is>
      </c>
      <c r="I118" s="13" t="inlineStr">
        <is>
          <t>لم يُختبر</t>
        </is>
      </c>
      <c r="J118" s="14" t="inlineStr"/>
      <c r="K118" s="13" t="inlineStr"/>
      <c r="L118" s="14" t="inlineStr"/>
    </row>
    <row r="119">
      <c r="A119" s="13" t="inlineStr">
        <is>
          <t>TC-D-118</t>
        </is>
      </c>
      <c r="B119" s="14" t="inlineStr">
        <is>
          <t>المشتريات</t>
        </is>
      </c>
      <c r="C119" s="15" t="inlineStr">
        <is>
          <t>PO لمورد محلي مع ضريبة 15% ودفعة مقدمة</t>
        </is>
      </c>
      <c r="D119" s="14" t="inlineStr">
        <is>
          <t>مورد محلي</t>
        </is>
      </c>
      <c r="E119" s="14" t="inlineStr">
        <is>
          <t>1. أنشئ PO بمبلغ 10,000 + ضريبة ودفعة مقدمة 30%</t>
        </is>
      </c>
      <c r="F119" s="14" t="inlineStr">
        <is>
          <t>الضريبة 1,500، الإجمالي 11,500، الدفعة المقدمة محسوبة وتظهر في PDF</t>
        </is>
      </c>
      <c r="G119" s="13" t="inlineStr">
        <is>
          <t>P2</t>
        </is>
      </c>
      <c r="H119" s="14" t="inlineStr">
        <is>
          <t>وظيفي</t>
        </is>
      </c>
      <c r="I119" s="13" t="inlineStr">
        <is>
          <t>لم يُختبر</t>
        </is>
      </c>
      <c r="J119" s="14" t="inlineStr"/>
      <c r="K119" s="13" t="inlineStr"/>
      <c r="L119" s="14" t="inlineStr"/>
    </row>
    <row r="120">
      <c r="A120" s="13" t="inlineStr">
        <is>
          <t>TC-D-119</t>
        </is>
      </c>
      <c r="B120" s="14" t="inlineStr">
        <is>
          <t>المشتريات</t>
        </is>
      </c>
      <c r="C120" s="15" t="inlineStr">
        <is>
          <t>PDF أمر الشراء</t>
        </is>
      </c>
      <c r="D120" s="14" t="inlineStr">
        <is>
          <t>PO approved</t>
        </is>
      </c>
      <c r="E120" s="14" t="inlineStr">
        <is>
          <t>1. حمّل PDF بمستخدم يملك purchase.cost.read
2. حاول بمستخدم مخزن بلا cost</t>
        </is>
      </c>
      <c r="F120" s="14" t="inlineStr">
        <is>
          <t>PDF عربي سليم بالأسعار والمورد والمعتمد؛ الثاني 403</t>
        </is>
      </c>
      <c r="G120" s="13" t="inlineStr">
        <is>
          <t>P2</t>
        </is>
      </c>
      <c r="H120" s="14" t="inlineStr">
        <is>
          <t>تكامل</t>
        </is>
      </c>
      <c r="I120" s="13" t="inlineStr">
        <is>
          <t>لم يُختبر</t>
        </is>
      </c>
      <c r="J120" s="14" t="inlineStr"/>
      <c r="K120" s="13" t="inlineStr"/>
      <c r="L120" s="14" t="inlineStr"/>
    </row>
    <row r="121">
      <c r="A121" s="13" t="inlineStr">
        <is>
          <t>TC-D-120</t>
        </is>
      </c>
      <c r="B121" s="14" t="inlineStr">
        <is>
          <t>المشتريات</t>
        </is>
      </c>
      <c r="C121" s="15" t="inlineStr">
        <is>
          <t>الاستلام في مستودع transit ممنوع</t>
        </is>
      </c>
      <c r="D121" s="14" t="inlineStr">
        <is>
          <t>PO approved</t>
        </is>
      </c>
      <c r="E121" s="14" t="inlineStr">
        <is>
          <t>1. اختر مستودع transit</t>
        </is>
      </c>
      <c r="F121" s="14" t="inlineStr">
        <is>
          <t>400 «receive into a store, van, site or quarantine warehouse»</t>
        </is>
      </c>
      <c r="G121" s="13" t="inlineStr">
        <is>
          <t>P2</t>
        </is>
      </c>
      <c r="H121" s="14" t="inlineStr">
        <is>
          <t>تحقق من المدخلات</t>
        </is>
      </c>
      <c r="I121" s="13" t="inlineStr">
        <is>
          <t>لم يُختبر</t>
        </is>
      </c>
      <c r="J121" s="14" t="inlineStr"/>
      <c r="K121" s="13" t="inlineStr"/>
      <c r="L121" s="14" t="inlineStr"/>
    </row>
    <row r="122">
      <c r="A122" s="13" t="inlineStr">
        <is>
          <t>TC-D-121</t>
        </is>
      </c>
      <c r="B122" s="14" t="inlineStr">
        <is>
          <t>المشتريات</t>
        </is>
      </c>
      <c r="C122" s="15" t="inlineStr">
        <is>
          <t>فاتورة مباشرة بدون PO</t>
        </is>
      </c>
      <c r="D122" s="14" t="inlineStr">
        <is>
          <t>purchase.write</t>
        </is>
      </c>
      <c r="E122" s="14" t="inlineStr">
        <is>
          <t>1. أدخل فاتورة مصاريف بسطرين وضريبة لا تطابق السطور
2. صحح الضريبة</t>
        </is>
      </c>
      <c r="F122" s="14" t="inlineStr">
        <is>
          <t>الأول 400 «the VAT … does not match the lines»؛ الثاني يُحفظ؛ الإجمالي صفر مرفوض</t>
        </is>
      </c>
      <c r="G122" s="13" t="inlineStr">
        <is>
          <t>P2</t>
        </is>
      </c>
      <c r="H122" s="14" t="inlineStr">
        <is>
          <t>تحقق من المدخلات</t>
        </is>
      </c>
      <c r="I122" s="13" t="inlineStr">
        <is>
          <t>لم يُختبر</t>
        </is>
      </c>
      <c r="J122" s="14" t="inlineStr"/>
      <c r="K122" s="13" t="inlineStr"/>
      <c r="L122" s="14" t="inlineStr"/>
    </row>
    <row r="123">
      <c r="A123" s="13" t="inlineStr">
        <is>
          <t>TC-D-122</t>
        </is>
      </c>
      <c r="B123" s="14" t="inlineStr">
        <is>
          <t>المشتريات</t>
        </is>
      </c>
      <c r="C123" s="15" t="inlineStr">
        <is>
          <t>تاريخ دفع مستقبلي أو مبلغ صفر</t>
        </is>
      </c>
      <c r="D123" s="14" t="inlineStr">
        <is>
          <t>فاتورة approved</t>
        </is>
      </c>
      <c r="E123" s="14" t="inlineStr">
        <is>
          <t>1. ادفع بتاريخ الغد
2. ادفع 0</t>
        </is>
      </c>
      <c r="F123" s="14" t="inlineStr">
        <is>
          <t>400 «the payment date is in the future» و«the amount must be above zero»</t>
        </is>
      </c>
      <c r="G123" s="13" t="inlineStr">
        <is>
          <t>P2</t>
        </is>
      </c>
      <c r="H123" s="14" t="inlineStr">
        <is>
          <t>تحقق من المدخلات</t>
        </is>
      </c>
      <c r="I123" s="13" t="inlineStr">
        <is>
          <t>لم يُختبر</t>
        </is>
      </c>
      <c r="J123" s="14" t="inlineStr"/>
      <c r="K123" s="13" t="inlineStr"/>
      <c r="L123" s="14" t="inlineStr"/>
    </row>
    <row r="124">
      <c r="A124" s="13" t="inlineStr">
        <is>
          <t>TC-D-123</t>
        </is>
      </c>
      <c r="B124" s="14" t="inlineStr">
        <is>
          <t>المشتريات</t>
        </is>
      </c>
      <c r="C124" s="15" t="inlineStr">
        <is>
          <t>أعمار الذمم الدائنة</t>
        </is>
      </c>
      <c r="D124" s="14" t="inlineStr">
        <is>
          <t>فواتير مستحقة بأعمار مختلفة</t>
        </is>
      </c>
      <c r="E124" s="14" t="inlineStr">
        <is>
          <t>1. افتح تقرير أعمار الدائنين</t>
        </is>
      </c>
      <c r="F124" s="14" t="inlineStr">
        <is>
          <t>تصنيف current / 1_30 / 31_60 / 61_90 / 90_plus صحيح بتوقيت الرياض؛ 403 لمن لا يملك purchase.cost.read</t>
        </is>
      </c>
      <c r="G124" s="13" t="inlineStr">
        <is>
          <t>P2</t>
        </is>
      </c>
      <c r="H124" s="14" t="inlineStr">
        <is>
          <t>وظيفي</t>
        </is>
      </c>
      <c r="I124" s="13" t="inlineStr">
        <is>
          <t>لم يُختبر</t>
        </is>
      </c>
      <c r="J124" s="14" t="inlineStr"/>
      <c r="K124" s="13" t="inlineStr"/>
      <c r="L124" s="14" t="inlineStr"/>
    </row>
    <row r="125">
      <c r="A125" s="13" t="inlineStr">
        <is>
          <t>TC-D-124</t>
        </is>
      </c>
      <c r="B125" s="14" t="inlineStr">
        <is>
          <t>المشتريات</t>
        </is>
      </c>
      <c r="C125" s="15" t="inlineStr">
        <is>
          <t>دفع فاتورة بانتظار استثناء</t>
        </is>
      </c>
      <c r="D125" s="14" t="inlineStr">
        <is>
          <t>فاتورة draft بسبب exception</t>
        </is>
      </c>
      <c r="E125" s="14" t="inlineStr">
        <is>
          <t>1. حاول الدفع</t>
        </is>
      </c>
      <c r="F125" s="14" t="inlineStr">
        <is>
          <t>400 «bill … is waiting for approval of its match exception»</t>
        </is>
      </c>
      <c r="G125" s="13" t="inlineStr">
        <is>
          <t>P2</t>
        </is>
      </c>
      <c r="H125" s="14" t="inlineStr">
        <is>
          <t>حالات حدّية</t>
        </is>
      </c>
      <c r="I125" s="13" t="inlineStr">
        <is>
          <t>لم يُختبر</t>
        </is>
      </c>
      <c r="J125" s="14" t="inlineStr"/>
      <c r="K125" s="13" t="inlineStr"/>
      <c r="L125" s="14" t="inlineStr"/>
    </row>
    <row r="126">
      <c r="A126" s="13" t="inlineStr">
        <is>
          <t>TC-D-125</t>
        </is>
      </c>
      <c r="B126" s="14" t="inlineStr">
        <is>
          <t>المشتريات</t>
        </is>
      </c>
      <c r="C126" s="15" t="inlineStr">
        <is>
          <t>كود مكرر في RFQ</t>
        </is>
      </c>
      <c r="D126" s="14" t="inlineStr">
        <is>
          <t>purchase.write</t>
        </is>
      </c>
      <c r="E126" s="14" t="inlineStr">
        <is>
          <t>1. أنشئ RFQ بسطرين نفس الكود</t>
        </is>
      </c>
      <c r="F126" s="14" t="inlineStr">
        <is>
          <t>رفض 400 «a code appears twice — one line per code»</t>
        </is>
      </c>
      <c r="G126" s="13" t="inlineStr">
        <is>
          <t>P3</t>
        </is>
      </c>
      <c r="H126" s="14" t="inlineStr">
        <is>
          <t>تحقق من المدخلات</t>
        </is>
      </c>
      <c r="I126" s="13" t="inlineStr">
        <is>
          <t>لم يُختبر</t>
        </is>
      </c>
      <c r="J126" s="14" t="inlineStr"/>
      <c r="K126" s="13" t="inlineStr"/>
      <c r="L126" s="14" t="inlineStr"/>
    </row>
    <row r="127">
      <c r="A127" s="13" t="inlineStr">
        <is>
          <t>TC-D-126</t>
        </is>
      </c>
      <c r="B127" s="14" t="inlineStr">
        <is>
          <t>المشتريات</t>
        </is>
      </c>
      <c r="C127" s="15" t="inlineStr">
        <is>
          <t>تحذير شهادة تنتهي خلال 30 يومًا</t>
        </is>
      </c>
      <c r="D127" s="14" t="inlineStr">
        <is>
          <t>منتج PCoC تنتهي بعد 20 يومًا</t>
        </is>
      </c>
      <c r="E127" s="14" t="inlineStr">
        <is>
          <t>1. افتح تقرير الامتثال</t>
        </is>
      </c>
      <c r="F127" s="14" t="inlineStr">
        <is>
          <t>يظهر بمستوى warn وليس block</t>
        </is>
      </c>
      <c r="G127" s="13" t="inlineStr">
        <is>
          <t>P3</t>
        </is>
      </c>
      <c r="H127" s="14" t="inlineStr">
        <is>
          <t>حالات حدّية</t>
        </is>
      </c>
      <c r="I127" s="13" t="inlineStr">
        <is>
          <t>لم يُختبر</t>
        </is>
      </c>
      <c r="J127" s="14" t="inlineStr"/>
      <c r="K127" s="13" t="inlineStr"/>
      <c r="L127" s="14" t="inlineStr"/>
    </row>
    <row r="128">
      <c r="A128" s="13" t="inlineStr">
        <is>
          <t>TC-D-127</t>
        </is>
      </c>
      <c r="B128" s="14" t="inlineStr">
        <is>
          <t>المشتريات</t>
        </is>
      </c>
      <c r="C128" s="15" t="inlineStr">
        <is>
          <t>توزيع تكلفة الهبوط قبل الاستلام</t>
        </is>
      </c>
      <c r="D128" s="14" t="inlineStr">
        <is>
          <t>شحنة بلا استلام</t>
        </is>
      </c>
      <c r="E128" s="14" t="inlineStr">
        <is>
          <t>1. اضغط توزيع</t>
        </is>
      </c>
      <c r="F128" s="14" t="inlineStr">
        <is>
          <t>400 «no goods received against this shipment yet»</t>
        </is>
      </c>
      <c r="G128" s="13" t="inlineStr">
        <is>
          <t>P3</t>
        </is>
      </c>
      <c r="H128" s="14" t="inlineStr">
        <is>
          <t>تحقق من المدخلات</t>
        </is>
      </c>
      <c r="I128" s="13" t="inlineStr">
        <is>
          <t>لم يُختبر</t>
        </is>
      </c>
      <c r="J128" s="14" t="inlineStr"/>
      <c r="K128" s="13" t="inlineStr"/>
      <c r="L128" s="14" t="inlineStr"/>
    </row>
    <row r="129">
      <c r="A129" s="13" t="inlineStr">
        <is>
          <t>TC-D-128</t>
        </is>
      </c>
      <c r="B129" s="14" t="inlineStr">
        <is>
          <t>المخزون</t>
        </is>
      </c>
      <c r="C129" s="15" t="inlineStr">
        <is>
          <t>سجل الحركات إلحاقي فقط</t>
        </is>
      </c>
      <c r="D129" s="14" t="inlineStr">
        <is>
          <t>مستخدم قاعدة بيانات mmc_app</t>
        </is>
      </c>
      <c r="E129" s="14" t="inlineStr">
        <is>
          <t>1. نفذ UPDATE أو DELETE على stock_move</t>
        </is>
      </c>
      <c r="F129" s="14" t="inlineStr">
        <is>
          <t>يُرفض من قاعدة البيانات (append-only)؛ التصحيح فقط بحركة adjust جديدة</t>
        </is>
      </c>
      <c r="G129" s="13" t="inlineStr">
        <is>
          <t>P1</t>
        </is>
      </c>
      <c r="H129" s="14" t="inlineStr">
        <is>
          <t>أمان</t>
        </is>
      </c>
      <c r="I129" s="13" t="inlineStr">
        <is>
          <t>لم يُختبر</t>
        </is>
      </c>
      <c r="J129" s="14" t="inlineStr"/>
      <c r="K129" s="13" t="inlineStr"/>
      <c r="L129" s="14" t="inlineStr"/>
    </row>
    <row r="130">
      <c r="A130" s="13" t="inlineStr">
        <is>
          <t>TC-D-129</t>
        </is>
      </c>
      <c r="B130" s="14" t="inlineStr">
        <is>
          <t>المخزون</t>
        </is>
      </c>
      <c r="C130" s="15" t="inlineStr">
        <is>
          <t>منع الرصيد السالب</t>
        </is>
      </c>
      <c r="D130" s="14" t="inlineStr">
        <is>
          <t>منتج رصيده 5 في المستودع الرئيسي</t>
        </is>
      </c>
      <c r="E130" s="14" t="inlineStr">
        <is>
          <t>1. اصرف 6 لمشروع</t>
        </is>
      </c>
      <c r="F130" s="14" t="inlineStr">
        <is>
          <t>400 «not enough stock of X in MAIN: 5 on hand, 6 needed»</t>
        </is>
      </c>
      <c r="G130" s="13" t="inlineStr">
        <is>
          <t>P1</t>
        </is>
      </c>
      <c r="H130" s="14" t="inlineStr">
        <is>
          <t>حالات حدّية</t>
        </is>
      </c>
      <c r="I130" s="13" t="inlineStr">
        <is>
          <t>لم يُختبر</t>
        </is>
      </c>
      <c r="J130" s="14" t="inlineStr"/>
      <c r="K130" s="13" t="inlineStr"/>
      <c r="L130" s="14" t="inlineStr"/>
    </row>
    <row r="131">
      <c r="A131" s="13" t="inlineStr">
        <is>
          <t>TC-D-130</t>
        </is>
      </c>
      <c r="B131" s="14" t="inlineStr">
        <is>
          <t>المخزون</t>
        </is>
      </c>
      <c r="C131" s="15" t="inlineStr">
        <is>
          <t>المتوسط المرجح للتكلفة</t>
        </is>
      </c>
      <c r="D131" s="14" t="inlineStr">
        <is>
          <t>رصيد 10 بتكلفة 100</t>
        </is>
      </c>
      <c r="E131" s="14" t="inlineStr">
        <is>
          <t>1. استلم 10 بتكلفة 130</t>
        </is>
      </c>
      <c r="F131" s="14" t="inlineStr">
        <is>
          <t>المتوسط الجديد 115.00 ويظهر في التقييم</t>
        </is>
      </c>
      <c r="G131" s="13" t="inlineStr">
        <is>
          <t>P1</t>
        </is>
      </c>
      <c r="H131" s="14" t="inlineStr">
        <is>
          <t>وظيفي</t>
        </is>
      </c>
      <c r="I131" s="13" t="inlineStr">
        <is>
          <t>لم يُختبر</t>
        </is>
      </c>
      <c r="J131" s="14" t="inlineStr"/>
      <c r="K131" s="13" t="inlineStr"/>
      <c r="L131" s="14" t="inlineStr"/>
    </row>
    <row r="132">
      <c r="A132" s="13" t="inlineStr">
        <is>
          <t>TC-D-131</t>
        </is>
      </c>
      <c r="B132" s="14" t="inlineStr">
        <is>
          <t>المخزون</t>
        </is>
      </c>
      <c r="C132" s="15" t="inlineStr">
        <is>
          <t>تتبع التسلسل في الصرف</t>
        </is>
      </c>
      <c r="D132" s="14" t="inlineStr">
        <is>
          <t>منتج serial-tracked</t>
        </is>
      </c>
      <c r="E132" s="14" t="inlineStr">
        <is>
          <t>1. اصرف بتسلسل غير موجود في المستودع
2. اصرف بكمية 1.5</t>
        </is>
      </c>
      <c r="F132" s="14" t="inlineStr">
        <is>
          <t>400 «serial … is not in stock in …» و«whole number»</t>
        </is>
      </c>
      <c r="G132" s="13" t="inlineStr">
        <is>
          <t>P1</t>
        </is>
      </c>
      <c r="H132" s="14" t="inlineStr">
        <is>
          <t>تحقق من المدخلات</t>
        </is>
      </c>
      <c r="I132" s="13" t="inlineStr">
        <is>
          <t>لم يُختبر</t>
        </is>
      </c>
      <c r="J132" s="14" t="inlineStr"/>
      <c r="K132" s="13" t="inlineStr"/>
      <c r="L132" s="14" t="inlineStr"/>
    </row>
    <row r="133">
      <c r="A133" s="13" t="inlineStr">
        <is>
          <t>TC-D-132</t>
        </is>
      </c>
      <c r="B133" s="14" t="inlineStr">
        <is>
          <t>المخزون</t>
        </is>
      </c>
      <c r="C133" s="15" t="inlineStr">
        <is>
          <t>مستودع سيارة الفني</t>
        </is>
      </c>
      <c r="D133" s="14" t="inlineStr">
        <is>
          <t>فني مرتبط بمستودع van</t>
        </is>
      </c>
      <c r="E133" s="14" t="inlineStr">
        <is>
          <t>1. حوّل 3 قطع من الرئيسي إلى سيارة الفني
2. الفني يستهلك قطعة في أمر عمل من /tech</t>
        </is>
      </c>
      <c r="F133" s="14" t="inlineStr">
        <is>
          <t>الرصيد ينتقل، والاستهلاك يُخصم من السيارة؛ الفني لا يرى مستودعات الآخرين («not your warehouse»)</t>
        </is>
      </c>
      <c r="G133" s="13" t="inlineStr">
        <is>
          <t>P1</t>
        </is>
      </c>
      <c r="H133" s="14" t="inlineStr">
        <is>
          <t>صلاحيات</t>
        </is>
      </c>
      <c r="I133" s="13" t="inlineStr">
        <is>
          <t>لم يُختبر</t>
        </is>
      </c>
      <c r="J133" s="14" t="inlineStr"/>
      <c r="K133" s="13" t="inlineStr"/>
      <c r="L133" s="14" t="inlineStr"/>
    </row>
    <row r="134">
      <c r="A134" s="13" t="inlineStr">
        <is>
          <t>TC-D-133</t>
        </is>
      </c>
      <c r="B134" s="14" t="inlineStr">
        <is>
          <t>المخزون</t>
        </is>
      </c>
      <c r="C134" s="15" t="inlineStr">
        <is>
          <t>رصيد افتتاحي مع معاينة</t>
        </is>
      </c>
      <c r="D134" s="14" t="inlineStr">
        <is>
          <t>inventory.write وpurchase.cost.read</t>
        </is>
      </c>
      <c r="E134" s="14" t="inlineStr">
        <is>
          <t>1. افتح /inventory/opening
2. الصق ورقة بسطور منها سطر بكود غير موجود
3. عاين ثم صحح واحفظ</t>
        </is>
      </c>
      <c r="F134" s="14" t="inlineStr">
        <is>
          <t>المعاينة تظهر الأخطاء بأرقام السطور ولا تحفظ شيئًا؛ بعد التصحيح حركات opening</t>
        </is>
      </c>
      <c r="G134" s="13" t="inlineStr">
        <is>
          <t>P1</t>
        </is>
      </c>
      <c r="H134" s="14" t="inlineStr">
        <is>
          <t>وظيفي</t>
        </is>
      </c>
      <c r="I134" s="13" t="inlineStr">
        <is>
          <t>لم يُختبر</t>
        </is>
      </c>
      <c r="J134" s="14" t="inlineStr"/>
      <c r="K134" s="13" t="inlineStr"/>
      <c r="L134" s="14" t="inlineStr"/>
    </row>
    <row r="135">
      <c r="A135" s="13" t="inlineStr">
        <is>
          <t>TC-D-134</t>
        </is>
      </c>
      <c r="B135" s="14" t="inlineStr">
        <is>
          <t>المخزون</t>
        </is>
      </c>
      <c r="C135" s="15" t="inlineStr">
        <is>
          <t>أمين المخزن لا يرى التكلفة في الافتتاحي</t>
        </is>
      </c>
      <c r="D135" s="14" t="inlineStr">
        <is>
          <t>دور storekeeper بلا purchase.cost.read</t>
        </is>
      </c>
      <c r="E135" s="14" t="inlineStr">
        <is>
          <t>1. افتح /inventory/opening
2. أرسل unitCost عبر API</t>
        </is>
      </c>
      <c r="F135" s="14" t="inlineStr">
        <is>
          <t>عمود التكلفة مخفي؛ الطلب 403 «typing unit costs needs purchase.cost.read»</t>
        </is>
      </c>
      <c r="G135" s="13" t="inlineStr">
        <is>
          <t>P1</t>
        </is>
      </c>
      <c r="H135" s="14" t="inlineStr">
        <is>
          <t>صلاحيات</t>
        </is>
      </c>
      <c r="I135" s="13" t="inlineStr">
        <is>
          <t>لم يُختبر</t>
        </is>
      </c>
      <c r="J135" s="14" t="inlineStr"/>
      <c r="K135" s="13" t="inlineStr"/>
      <c r="L135" s="14" t="inlineStr"/>
    </row>
    <row r="136">
      <c r="A136" s="13" t="inlineStr">
        <is>
          <t>TC-D-135</t>
        </is>
      </c>
      <c r="B136" s="14" t="inlineStr">
        <is>
          <t>المخزون</t>
        </is>
      </c>
      <c r="C136" s="15" t="inlineStr">
        <is>
          <t>تزامن صرف آخر قطعة</t>
        </is>
      </c>
      <c r="D136" s="14" t="inlineStr">
        <is>
          <t>رصيد 1 ومستخدمان</t>
        </is>
      </c>
      <c r="E136" s="14" t="inlineStr">
        <is>
          <t>1. يصرف كلاهما 1 في نفس اللحظة</t>
        </is>
      </c>
      <c r="F136" s="14" t="inlineStr">
        <is>
          <t>ينجح واحد فقط والآخر 400 رصيد غير كافٍ؛ لا رصيد سالب</t>
        </is>
      </c>
      <c r="G136" s="13" t="inlineStr">
        <is>
          <t>P1</t>
        </is>
      </c>
      <c r="H136" s="14" t="inlineStr">
        <is>
          <t>حالات حدّية</t>
        </is>
      </c>
      <c r="I136" s="13" t="inlineStr">
        <is>
          <t>لم يُختبر</t>
        </is>
      </c>
      <c r="J136" s="14" t="inlineStr"/>
      <c r="K136" s="13" t="inlineStr"/>
      <c r="L136" s="14" t="inlineStr"/>
    </row>
    <row r="137">
      <c r="A137" s="13" t="inlineStr">
        <is>
          <t>TC-D-136</t>
        </is>
      </c>
      <c r="B137" s="14" t="inlineStr">
        <is>
          <t>المخزون</t>
        </is>
      </c>
      <c r="C137" s="15" t="inlineStr">
        <is>
          <t>التحويل عبر مستودع العبور</t>
        </is>
      </c>
      <c r="D137" s="14" t="inlineStr">
        <is>
          <t>مستودعان وtransit</t>
        </is>
      </c>
      <c r="E137" s="14" t="inlineStr">
        <is>
          <t>1. أنشئ تحويلًا (إرسال)
2. أكد الاستلام في الوجهة</t>
        </is>
      </c>
      <c r="F137" s="14" t="inlineStr">
        <is>
          <t>الرصيد في transit بين الخطوتين ثم في الوجهة؛ المصدر = الوجهة يرفض 400</t>
        </is>
      </c>
      <c r="G137" s="13" t="inlineStr">
        <is>
          <t>P2</t>
        </is>
      </c>
      <c r="H137" s="14" t="inlineStr">
        <is>
          <t>وظيفي</t>
        </is>
      </c>
      <c r="I137" s="13" t="inlineStr">
        <is>
          <t>لم يُختبر</t>
        </is>
      </c>
      <c r="J137" s="14" t="inlineStr"/>
      <c r="K137" s="13" t="inlineStr"/>
      <c r="L137" s="14" t="inlineStr"/>
    </row>
    <row r="138">
      <c r="A138" s="13" t="inlineStr">
        <is>
          <t>TC-D-137</t>
        </is>
      </c>
      <c r="B138" s="14" t="inlineStr">
        <is>
          <t>المخزون</t>
        </is>
      </c>
      <c r="C138" s="15" t="inlineStr">
        <is>
          <t>الصرف والإرجاع من/إلى المشروع</t>
        </is>
      </c>
      <c r="D138" s="14" t="inlineStr">
        <is>
          <t>مشروع نشط</t>
        </is>
      </c>
      <c r="E138" s="14" t="inlineStr">
        <is>
          <t>1. اصرف 5 للمشروع
2. أرجع 2</t>
        </is>
      </c>
      <c r="F138" s="14" t="inlineStr">
        <is>
          <t>حركة issue_project ثم return، تكلفة المشروع تتحدث، الإرجاع بالمتوسط</t>
        </is>
      </c>
      <c r="G138" s="13" t="inlineStr">
        <is>
          <t>P2</t>
        </is>
      </c>
      <c r="H138" s="14" t="inlineStr">
        <is>
          <t>وظيفي</t>
        </is>
      </c>
      <c r="I138" s="13" t="inlineStr">
        <is>
          <t>لم يُختبر</t>
        </is>
      </c>
      <c r="J138" s="14" t="inlineStr"/>
      <c r="K138" s="13" t="inlineStr"/>
      <c r="L138" s="14" t="inlineStr"/>
    </row>
    <row r="139">
      <c r="A139" s="13" t="inlineStr">
        <is>
          <t>TC-D-138</t>
        </is>
      </c>
      <c r="B139" s="14" t="inlineStr">
        <is>
          <t>المخزون</t>
        </is>
      </c>
      <c r="C139" s="15" t="inlineStr">
        <is>
          <t>الجرد الدوري ودقة الجرد</t>
        </is>
      </c>
      <c r="D139" s="14" t="inlineStr">
        <is>
          <t>رصيد نظامي 10</t>
        </is>
      </c>
      <c r="E139" s="14" t="inlineStr">
        <is>
          <t>1. أنشئ جردًا وأدخل المعدود 9
2. اعتمد الجرد</t>
        </is>
      </c>
      <c r="F139" s="14" t="inlineStr">
        <is>
          <t>حركة count بفرق −1، ونسبة الدقة محسوبة</t>
        </is>
      </c>
      <c r="G139" s="13" t="inlineStr">
        <is>
          <t>P2</t>
        </is>
      </c>
      <c r="H139" s="14" t="inlineStr">
        <is>
          <t>وظيفي</t>
        </is>
      </c>
      <c r="I139" s="13" t="inlineStr">
        <is>
          <t>لم يُختبر</t>
        </is>
      </c>
      <c r="J139" s="14" t="inlineStr"/>
      <c r="K139" s="13" t="inlineStr"/>
      <c r="L139" s="14" t="inlineStr"/>
    </row>
    <row r="140">
      <c r="A140" s="13" t="inlineStr">
        <is>
          <t>TC-D-139</t>
        </is>
      </c>
      <c r="B140" s="14" t="inlineStr">
        <is>
          <t>المخزون</t>
        </is>
      </c>
      <c r="C140" s="15" t="inlineStr">
        <is>
          <t>حدود الرصيد الافتتاحي</t>
        </is>
      </c>
      <c r="D140" s="14" t="inlineStr">
        <is>
          <t>inventory.write</t>
        </is>
      </c>
      <c r="E140" s="14" t="inlineStr">
        <is>
          <t>1. تاريخ افتتاحي في المستقبل
2. 2,001 سطر
3. مستودع transit</t>
        </is>
      </c>
      <c r="F140" s="14" t="inlineStr">
        <is>
          <t>400 لكل حالة برسالة محددة</t>
        </is>
      </c>
      <c r="G140" s="13" t="inlineStr">
        <is>
          <t>P2</t>
        </is>
      </c>
      <c r="H140" s="14" t="inlineStr">
        <is>
          <t>حالات حدّية</t>
        </is>
      </c>
      <c r="I140" s="13" t="inlineStr">
        <is>
          <t>لم يُختبر</t>
        </is>
      </c>
      <c r="J140" s="14" t="inlineStr"/>
      <c r="K140" s="13" t="inlineStr"/>
      <c r="L140" s="14" t="inlineStr"/>
    </row>
    <row r="141">
      <c r="A141" s="13" t="inlineStr">
        <is>
          <t>TC-D-140</t>
        </is>
      </c>
      <c r="B141" s="14" t="inlineStr">
        <is>
          <t>المخزون</t>
        </is>
      </c>
      <c r="C141" s="15" t="inlineStr">
        <is>
          <t>تقرير التقييم ونقطة إعادة الطلب</t>
        </is>
      </c>
      <c r="D141" s="14" t="inlineStr">
        <is>
          <t>منتجات بحد إعادة طلب</t>
        </is>
      </c>
      <c r="E141" s="14" t="inlineStr">
        <is>
          <t>1. افتح التقييم وتقرير إعادة الطلب</t>
        </is>
      </c>
      <c r="F141" s="14" t="inlineStr">
        <is>
          <t>القيمة = الكمية × المتوسط؛ تظهر المنتجات تحت الحد؛ التقييم مخفي عن من لا يملك cost</t>
        </is>
      </c>
      <c r="G141" s="13" t="inlineStr">
        <is>
          <t>P2</t>
        </is>
      </c>
      <c r="H141" s="14" t="inlineStr">
        <is>
          <t>وظيفي</t>
        </is>
      </c>
      <c r="I141" s="13" t="inlineStr">
        <is>
          <t>لم يُختبر</t>
        </is>
      </c>
      <c r="J141" s="14" t="inlineStr"/>
      <c r="K141" s="13" t="inlineStr"/>
      <c r="L141" s="14" t="inlineStr"/>
    </row>
    <row r="142">
      <c r="A142" s="13" t="inlineStr">
        <is>
          <t>TC-D-141</t>
        </is>
      </c>
      <c r="B142" s="14" t="inlineStr">
        <is>
          <t>المخزون</t>
        </is>
      </c>
      <c r="C142" s="15" t="inlineStr">
        <is>
          <t>منتج خدمة لا يحمل مخزونًا</t>
        </is>
      </c>
      <c r="D142" s="14" t="inlineStr">
        <is>
          <t>منتج type = service</t>
        </is>
      </c>
      <c r="E142" s="14" t="inlineStr">
        <is>
          <t>1. حاول تحويله</t>
        </is>
      </c>
      <c r="F142" s="14" t="inlineStr">
        <is>
          <t>400 «X is a service item and holds no stock»</t>
        </is>
      </c>
      <c r="G142" s="13" t="inlineStr">
        <is>
          <t>P3</t>
        </is>
      </c>
      <c r="H142" s="14" t="inlineStr">
        <is>
          <t>تحقق من المدخلات</t>
        </is>
      </c>
      <c r="I142" s="13" t="inlineStr">
        <is>
          <t>لم يُختبر</t>
        </is>
      </c>
      <c r="J142" s="14" t="inlineStr"/>
      <c r="K142" s="13" t="inlineStr"/>
      <c r="L142" s="14" t="inlineStr"/>
    </row>
    <row r="143">
      <c r="A143" s="13" t="inlineStr">
        <is>
          <t>TC-D-142</t>
        </is>
      </c>
      <c r="B143" s="14" t="inlineStr">
        <is>
          <t>المخزون</t>
        </is>
      </c>
      <c r="C143" s="15" t="inlineStr">
        <is>
          <t>مستودع مؤرشف</t>
        </is>
      </c>
      <c r="D143" s="14" t="inlineStr">
        <is>
          <t>مستودع archived</t>
        </is>
      </c>
      <c r="E143" s="14" t="inlineStr">
        <is>
          <t>1. حاول الحركة إليه</t>
        </is>
      </c>
      <c r="F143" s="14" t="inlineStr">
        <is>
          <t>400 «warehouse … is archived»</t>
        </is>
      </c>
      <c r="G143" s="13" t="inlineStr">
        <is>
          <t>P3</t>
        </is>
      </c>
      <c r="H143" s="14" t="inlineStr">
        <is>
          <t>تحقق من المدخلات</t>
        </is>
      </c>
      <c r="I143" s="13" t="inlineStr">
        <is>
          <t>لم يُختبر</t>
        </is>
      </c>
      <c r="J143" s="14" t="inlineStr"/>
      <c r="K143" s="13" t="inlineStr"/>
      <c r="L143" s="14" t="inlineStr"/>
    </row>
    <row r="144">
      <c r="A144" s="13" t="inlineStr">
        <is>
          <t>TC-D-143</t>
        </is>
      </c>
      <c r="B144" s="14" t="inlineStr">
        <is>
          <t>المخزون</t>
        </is>
      </c>
      <c r="C144" s="15" t="inlineStr">
        <is>
          <t>قائمة حركات كبيرة</t>
        </is>
      </c>
      <c r="D144" s="14" t="inlineStr">
        <is>
          <t>50,000 حركة</t>
        </is>
      </c>
      <c r="E144" s="14" t="inlineStr">
        <is>
          <t>1. افتح /inventory/moves وفلتر بالمنتج</t>
        </is>
      </c>
      <c r="F144" s="14" t="inlineStr">
        <is>
          <t>⚠ للتأكيد (السلوك المتوقع افتراض وليس قاعدة في الكود): تحميل خلال &lt; 2 ثانية مع ترقيم</t>
        </is>
      </c>
      <c r="G144" s="13" t="inlineStr">
        <is>
          <t>P3</t>
        </is>
      </c>
      <c r="H144" s="14" t="inlineStr">
        <is>
          <t>أداء</t>
        </is>
      </c>
      <c r="I144" s="13" t="inlineStr">
        <is>
          <t>لم يُختبر</t>
        </is>
      </c>
      <c r="J144" s="14" t="inlineStr"/>
      <c r="K144" s="13" t="inlineStr"/>
      <c r="L144" s="14" t="inlineStr"/>
    </row>
    <row r="145">
      <c r="A145" s="13" t="inlineStr">
        <is>
          <t>TC-D-144</t>
        </is>
      </c>
      <c r="B145" s="14" t="inlineStr">
        <is>
          <t>الإعدادات والأمان</t>
        </is>
      </c>
      <c r="C145" s="15" t="inlineStr">
        <is>
          <t>ملف المنشأة والبنك</t>
        </is>
      </c>
      <c r="D145" s="14" t="inlineStr">
        <is>
          <t>admin</t>
        </is>
      </c>
      <c r="E145" s="14" t="inlineStr">
        <is>
          <t>1. حدّث الاسم وCR والبنك وIBAN واحفظ
2. أنشئ عرض سعر وPDF</t>
        </is>
      </c>
      <c r="F145" s="14" t="inlineStr">
        <is>
          <t>تظهر البيانات الجديدة في المستندات اللاحقة</t>
        </is>
      </c>
      <c r="G145" s="13" t="inlineStr">
        <is>
          <t>P1</t>
        </is>
      </c>
      <c r="H145" s="14" t="inlineStr">
        <is>
          <t>وظيفي</t>
        </is>
      </c>
      <c r="I145" s="13" t="inlineStr">
        <is>
          <t>لم يُختبر</t>
        </is>
      </c>
      <c r="J145" s="14" t="inlineStr"/>
      <c r="K145" s="13" t="inlineStr"/>
      <c r="L145" s="14" t="inlineStr"/>
    </row>
    <row r="146">
      <c r="A146" s="13" t="inlineStr">
        <is>
          <t>TC-D-145</t>
        </is>
      </c>
      <c r="B146" s="14" t="inlineStr">
        <is>
          <t>الإعدادات والأمان</t>
        </is>
      </c>
      <c r="C146" s="15" t="inlineStr">
        <is>
          <t>رفع الختم يُنظف</t>
        </is>
      </c>
      <c r="D146" s="14" t="inlineStr">
        <is>
          <t>admin</t>
        </is>
      </c>
      <c r="E146" s="14" t="inlineStr">
        <is>
          <t>1. ارفع PNG كبير بخلفية
2. ارفع SVG يحتوي &lt;script&gt;</t>
        </is>
      </c>
      <c r="F146" s="14" t="inlineStr">
        <is>
          <t>الختم يُعالج (خلفية شفافة/حجم مناسب)؛ SVG الضار يُرفض أو يُنظف</t>
        </is>
      </c>
      <c r="G146" s="13" t="inlineStr">
        <is>
          <t>P1</t>
        </is>
      </c>
      <c r="H146" s="14" t="inlineStr">
        <is>
          <t>أمان</t>
        </is>
      </c>
      <c r="I146" s="13" t="inlineStr">
        <is>
          <t>لم يُختبر</t>
        </is>
      </c>
      <c r="J146" s="14" t="inlineStr"/>
      <c r="K146" s="13" t="inlineStr"/>
      <c r="L146" s="14" t="inlineStr"/>
    </row>
    <row r="147">
      <c r="A147" s="13" t="inlineStr">
        <is>
          <t>TC-D-146</t>
        </is>
      </c>
      <c r="B147" s="14" t="inlineStr">
        <is>
          <t>الإعدادات والأمان</t>
        </is>
      </c>
      <c r="C147" s="15" t="inlineStr">
        <is>
          <t>مفتاح «غير مسجل في ضريبة القيمة المضافة»</t>
        </is>
      </c>
      <c r="D147" s="14" t="inlineStr">
        <is>
          <t>admin</t>
        </is>
      </c>
      <c r="E147" s="14" t="inlineStr">
        <is>
          <t>1. فعّل المفتاح
2. أنشئ عرض سعر وفاتورة</t>
        </is>
      </c>
      <c r="F147" s="14" t="inlineStr">
        <is>
          <t>لا ضريبة ولا رقم ضريبي ولا QR؛ الفاتورة «فاتورة» مع ملاحظة عدم التسجيل</t>
        </is>
      </c>
      <c r="G147" s="13" t="inlineStr">
        <is>
          <t>P1</t>
        </is>
      </c>
      <c r="H147" s="14" t="inlineStr">
        <is>
          <t>تكامل</t>
        </is>
      </c>
      <c r="I147" s="13" t="inlineStr">
        <is>
          <t>لم يُختبر</t>
        </is>
      </c>
      <c r="J147" s="14" t="inlineStr"/>
      <c r="K147" s="13" t="inlineStr"/>
      <c r="L147" s="14" t="inlineStr"/>
    </row>
    <row r="148">
      <c r="A148" s="13" t="inlineStr">
        <is>
          <t>TC-D-147</t>
        </is>
      </c>
      <c r="B148" s="14" t="inlineStr">
        <is>
          <t>الإعدادات والأمان</t>
        </is>
      </c>
      <c r="C148" s="15" t="inlineStr">
        <is>
          <t>دعوة مستخدم بدور</t>
        </is>
      </c>
      <c r="D148" s="14" t="inlineStr">
        <is>
          <t>admin</t>
        </is>
      </c>
      <c r="E148" s="14" t="inlineStr">
        <is>
          <t>1. أرسل دعوة بدور sales
2. افتح الرابط وأكمل التسجيل بدون تأكيد البريد</t>
        </is>
      </c>
      <c r="F148" s="14" t="inlineStr">
        <is>
          <t>لا دخول قبل تأكيد البريد؛ لا تسجيل بدون دعوة</t>
        </is>
      </c>
      <c r="G148" s="13" t="inlineStr">
        <is>
          <t>P1</t>
        </is>
      </c>
      <c r="H148" s="14" t="inlineStr">
        <is>
          <t>أمان</t>
        </is>
      </c>
      <c r="I148" s="13" t="inlineStr">
        <is>
          <t>لم يُختبر</t>
        </is>
      </c>
      <c r="J148" s="14" t="inlineStr"/>
      <c r="K148" s="13" t="inlineStr"/>
      <c r="L148" s="14" t="inlineStr"/>
    </row>
    <row r="149">
      <c r="A149" s="13" t="inlineStr">
        <is>
          <t>TC-D-148</t>
        </is>
      </c>
      <c r="B149" s="14" t="inlineStr">
        <is>
          <t>الإعدادات والأمان</t>
        </is>
      </c>
      <c r="C149" s="15" t="inlineStr">
        <is>
          <t>التسجيل الذاتي بدون دعوة ممنوع</t>
        </is>
      </c>
      <c r="D149" s="14" t="inlineStr">
        <is>
          <t>لا شيء</t>
        </is>
      </c>
      <c r="E149" s="14" t="inlineStr">
        <is>
          <t>1. POST /api/auth/sign-up/email ببريد جديد</t>
        </is>
      </c>
      <c r="F149" s="14" t="inlineStr">
        <is>
          <t>مرفوض</t>
        </is>
      </c>
      <c r="G149" s="13" t="inlineStr">
        <is>
          <t>P1</t>
        </is>
      </c>
      <c r="H149" s="14" t="inlineStr">
        <is>
          <t>أمان</t>
        </is>
      </c>
      <c r="I149" s="13" t="inlineStr">
        <is>
          <t>لم يُختبر</t>
        </is>
      </c>
      <c r="J149" s="14" t="inlineStr"/>
      <c r="K149" s="13" t="inlineStr"/>
      <c r="L149" s="14" t="inlineStr"/>
    </row>
    <row r="150">
      <c r="A150" s="13" t="inlineStr">
        <is>
          <t>TC-D-149</t>
        </is>
      </c>
      <c r="B150" s="14" t="inlineStr">
        <is>
          <t>الإعدادات والأمان</t>
        </is>
      </c>
      <c r="C150" s="15" t="inlineStr">
        <is>
          <t>تغيير دور مستخدم يسري فورًا</t>
        </is>
      </c>
      <c r="D150" s="14" t="inlineStr">
        <is>
          <t>مستخدم مسجل الدخول</t>
        </is>
      </c>
      <c r="E150" s="14" t="inlineStr">
        <is>
          <t>1. admin يزيل hr.read منه
2. المستخدم يحدّث الصفحة</t>
        </is>
      </c>
      <c r="F150" s="14" t="inlineStr">
        <is>
          <t>تختفي صفحات HR والطلبات 403</t>
        </is>
      </c>
      <c r="G150" s="13" t="inlineStr">
        <is>
          <t>P1</t>
        </is>
      </c>
      <c r="H150" s="14" t="inlineStr">
        <is>
          <t>صلاحيات</t>
        </is>
      </c>
      <c r="I150" s="13" t="inlineStr">
        <is>
          <t>لم يُختبر</t>
        </is>
      </c>
      <c r="J150" s="14" t="inlineStr"/>
      <c r="K150" s="13" t="inlineStr"/>
      <c r="L150" s="14" t="inlineStr"/>
    </row>
    <row r="151">
      <c r="A151" s="13" t="inlineStr">
        <is>
          <t>TC-D-150</t>
        </is>
      </c>
      <c r="B151" s="14" t="inlineStr">
        <is>
          <t>الإعدادات والأمان</t>
        </is>
      </c>
      <c r="C151" s="15" t="inlineStr">
        <is>
          <t>سجل التدقيق مرتبط بالتجزئة</t>
        </is>
      </c>
      <c r="D151" s="14" t="inlineStr">
        <is>
          <t>admin</t>
        </is>
      </c>
      <c r="E151" s="14" t="inlineStr">
        <is>
          <t>1. افتح /settings/audit وتحقق من السلسلة
2. عدّل صفًا مباشرة في قاعدة البيانات وتحقق مجددًا</t>
        </is>
      </c>
      <c r="F151" s="14" t="inlineStr">
        <is>
          <t>التحقق ينجح ثم يكشف الكسر عند الصف المعدل؛ mmc_app لا يستطيع UPDATE/DELETE</t>
        </is>
      </c>
      <c r="G151" s="13" t="inlineStr">
        <is>
          <t>P1</t>
        </is>
      </c>
      <c r="H151" s="14" t="inlineStr">
        <is>
          <t>أمان</t>
        </is>
      </c>
      <c r="I151" s="13" t="inlineStr">
        <is>
          <t>لم يُختبر</t>
        </is>
      </c>
      <c r="J151" s="14" t="inlineStr"/>
      <c r="K151" s="13" t="inlineStr"/>
      <c r="L151" s="14" t="inlineStr"/>
    </row>
    <row r="152">
      <c r="A152" s="13" t="inlineStr">
        <is>
          <t>TC-D-151</t>
        </is>
      </c>
      <c r="B152" s="14" t="inlineStr">
        <is>
          <t>الإعدادات والأمان</t>
        </is>
      </c>
      <c r="C152" s="15" t="inlineStr">
        <is>
          <t>التحقق الثنائي ومفاتيح المرور</t>
        </is>
      </c>
      <c r="D152" s="14" t="inlineStr">
        <is>
          <t>مستخدم</t>
        </is>
      </c>
      <c r="E152" s="14" t="inlineStr">
        <is>
          <t>1. فعّل 2FA من /settings/security
2. سجّل الخروج والدخول
3. أضف passkey وادخل بها</t>
        </is>
      </c>
      <c r="F152" s="14" t="inlineStr">
        <is>
          <t>يُطلب الرمز؛ الدخول بالـ passkey يعمل؛ رموز الاسترداد تظهر مرة واحدة</t>
        </is>
      </c>
      <c r="G152" s="13" t="inlineStr">
        <is>
          <t>P1</t>
        </is>
      </c>
      <c r="H152" s="14" t="inlineStr">
        <is>
          <t>أمان</t>
        </is>
      </c>
      <c r="I152" s="13" t="inlineStr">
        <is>
          <t>لم يُختبر</t>
        </is>
      </c>
      <c r="J152" s="14" t="inlineStr"/>
      <c r="K152" s="13" t="inlineStr"/>
      <c r="L152" s="14" t="inlineStr"/>
    </row>
    <row r="153">
      <c r="A153" s="13" t="inlineStr">
        <is>
          <t>TC-D-152</t>
        </is>
      </c>
      <c r="B153" s="14" t="inlineStr">
        <is>
          <t>الإعدادات والأمان</t>
        </is>
      </c>
      <c r="C153" s="15" t="inlineStr">
        <is>
          <t>إعدادات بلا صلاحية</t>
        </is>
      </c>
      <c r="D153" s="14" t="inlineStr">
        <is>
          <t>مستخدم sales</t>
        </is>
      </c>
      <c r="E153" s="14" t="inlineStr">
        <is>
          <t>1. افتح /settings/users و/settings/company</t>
        </is>
      </c>
      <c r="F153" s="14" t="inlineStr">
        <is>
          <t>403 أو إخفاء الصفحات</t>
        </is>
      </c>
      <c r="G153" s="13" t="inlineStr">
        <is>
          <t>P1</t>
        </is>
      </c>
      <c r="H153" s="14" t="inlineStr">
        <is>
          <t>صلاحيات</t>
        </is>
      </c>
      <c r="I153" s="13" t="inlineStr">
        <is>
          <t>لم يُختبر</t>
        </is>
      </c>
      <c r="J153" s="14" t="inlineStr"/>
      <c r="K153" s="13" t="inlineStr"/>
      <c r="L153" s="14" t="inlineStr"/>
    </row>
    <row r="154">
      <c r="A154" s="13" t="inlineStr">
        <is>
          <t>TC-D-153</t>
        </is>
      </c>
      <c r="B154" s="14" t="inlineStr">
        <is>
          <t>الإعدادات والأمان</t>
        </is>
      </c>
      <c r="C154" s="15" t="inlineStr">
        <is>
          <t>سلاسل الترقيم</t>
        </is>
      </c>
      <c r="D154" s="14" t="inlineStr">
        <is>
          <t>admin</t>
        </is>
      </c>
      <c r="E154" s="14" t="inlineStr">
        <is>
          <t>1. غيّر بادئة سلسلة المسير/الإجازات
2. حاول خفض الرقم التالي</t>
        </is>
      </c>
      <c r="F154" s="14" t="inlineStr">
        <is>
          <t>البادئة الجديدة تطبق على المستند التالي؛ لا يمكن الرجوع لرقم مستخدم</t>
        </is>
      </c>
      <c r="G154" s="13" t="inlineStr">
        <is>
          <t>P2</t>
        </is>
      </c>
      <c r="H154" s="14" t="inlineStr">
        <is>
          <t>وظيفي</t>
        </is>
      </c>
      <c r="I154" s="13" t="inlineStr">
        <is>
          <t>لم يُختبر</t>
        </is>
      </c>
      <c r="J154" s="14" t="inlineStr"/>
      <c r="K154" s="13" t="inlineStr"/>
      <c r="L154" s="14" t="inlineStr"/>
    </row>
    <row r="155">
      <c r="A155" s="13" t="inlineStr">
        <is>
          <t>TC-D-154</t>
        </is>
      </c>
      <c r="B155" s="14" t="inlineStr">
        <is>
          <t>الإعدادات والأمان</t>
        </is>
      </c>
      <c r="C155" s="15" t="inlineStr">
        <is>
          <t>تقويم العمل والعطل ورمضان</t>
        </is>
      </c>
      <c r="D155" s="14" t="inlineStr">
        <is>
          <t>admin</t>
        </is>
      </c>
      <c r="E155" s="14" t="inlineStr">
        <is>
          <t>1. أضف عطلة اليوم الوطني 23 سبتمبر
2. حدد ساعات رمضان</t>
        </is>
      </c>
      <c r="F155" s="14" t="inlineStr">
        <is>
          <t>تؤثر على الجدولة ومواعيد التسليم؛ يظهر التقويم بالهجري/الميلادي حسب الإعداد</t>
        </is>
      </c>
      <c r="G155" s="13" t="inlineStr">
        <is>
          <t>P2</t>
        </is>
      </c>
      <c r="H155" s="14" t="inlineStr">
        <is>
          <t>وظيفي</t>
        </is>
      </c>
      <c r="I155" s="13" t="inlineStr">
        <is>
          <t>لم يُختبر</t>
        </is>
      </c>
      <c r="J155" s="14" t="inlineStr"/>
      <c r="K155" s="13" t="inlineStr"/>
      <c r="L155" s="14" t="inlineStr"/>
    </row>
    <row r="156">
      <c r="A156" s="13" t="inlineStr">
        <is>
          <t>TC-D-155</t>
        </is>
      </c>
      <c r="B156" s="14" t="inlineStr">
        <is>
          <t>الإعدادات والأمان</t>
        </is>
      </c>
      <c r="C156" s="15" t="inlineStr">
        <is>
          <t>رموز AI</t>
        </is>
      </c>
      <c r="D156" s="14" t="inlineStr">
        <is>
          <t>admin</t>
        </is>
      </c>
      <c r="E156" s="14" t="inlineStr">
        <is>
          <t>1. أنشئ رمزًا من /settings/ai
2. استخدمه في طلب API
3. ألغه وأعد الطلب</t>
        </is>
      </c>
      <c r="F156" s="14" t="inlineStr">
        <is>
          <t>الرمز يظهر مرة واحدة؛ يعمل بصلاحيات محددة؛ بعد الإلغاء 401</t>
        </is>
      </c>
      <c r="G156" s="13" t="inlineStr">
        <is>
          <t>P2</t>
        </is>
      </c>
      <c r="H156" s="14" t="inlineStr">
        <is>
          <t>أمان</t>
        </is>
      </c>
      <c r="I156" s="13" t="inlineStr">
        <is>
          <t>لم يُختبر</t>
        </is>
      </c>
      <c r="J156" s="14" t="inlineStr"/>
      <c r="K156" s="13" t="inlineStr"/>
      <c r="L156" s="14" t="inlineStr"/>
    </row>
    <row r="157">
      <c r="A157" s="13" t="inlineStr">
        <is>
          <t>TC-D-156</t>
        </is>
      </c>
      <c r="B157" s="14" t="inlineStr">
        <is>
          <t>عام ومشترك</t>
        </is>
      </c>
      <c r="C157" s="15" t="inlineStr">
        <is>
          <t>عزل المستأجرين (RLS)</t>
        </is>
      </c>
      <c r="D157" s="14" t="inlineStr">
        <is>
          <t>مستأجران A وB بنفس قاعدة البيانات</t>
        </is>
      </c>
      <c r="E157" s="14" t="inlineStr">
        <is>
          <t>1. من جلسة A اطلب GET لمعرّف موظف/PO/حركة من B
2. نفذ SELECT كـ mmc_app بدون set tenant</t>
        </is>
      </c>
      <c r="F157" s="14" t="inlineStr">
        <is>
          <t>404 بلا تسرب؛ الاستعلام بلا مستأجر يعيد 0 صفوف (FORCE RLS)</t>
        </is>
      </c>
      <c r="G157" s="13" t="inlineStr">
        <is>
          <t>P1</t>
        </is>
      </c>
      <c r="H157" s="14" t="inlineStr">
        <is>
          <t>أمان</t>
        </is>
      </c>
      <c r="I157" s="13" t="inlineStr">
        <is>
          <t>لم يُختبر</t>
        </is>
      </c>
      <c r="J157" s="14" t="inlineStr"/>
      <c r="K157" s="13" t="inlineStr"/>
      <c r="L157" s="14" t="inlineStr"/>
    </row>
    <row r="158">
      <c r="A158" s="13" t="inlineStr">
        <is>
          <t>TC-D-157</t>
        </is>
      </c>
      <c r="B158" s="14" t="inlineStr">
        <is>
          <t>عام ومشترك</t>
        </is>
      </c>
      <c r="C158" s="15" t="inlineStr">
        <is>
          <t>الترقيم لا يتكرر تحت التزامن</t>
        </is>
      </c>
      <c r="D158" s="14" t="inlineStr">
        <is>
          <t>API</t>
        </is>
      </c>
      <c r="E158" s="14" t="inlineStr">
        <is>
          <t>1. أرسل 20 طلب إنشاء PO/مسير/إجازة متوازيًا
2. الغِ بعضها</t>
        </is>
      </c>
      <c r="F158" s="14" t="inlineStr">
        <is>
          <t>أرقام فريدة متتالية؛ الملغى لا يُعاد استخدام رقمه</t>
        </is>
      </c>
      <c r="G158" s="13" t="inlineStr">
        <is>
          <t>P1</t>
        </is>
      </c>
      <c r="H158" s="14" t="inlineStr">
        <is>
          <t>حالات حدّية</t>
        </is>
      </c>
      <c r="I158" s="13" t="inlineStr">
        <is>
          <t>لم يُختبر</t>
        </is>
      </c>
      <c r="J158" s="14" t="inlineStr"/>
      <c r="K158" s="13" t="inlineStr"/>
      <c r="L158" s="14" t="inlineStr"/>
    </row>
    <row r="159">
      <c r="A159" s="13" t="inlineStr">
        <is>
          <t>TC-D-158</t>
        </is>
      </c>
      <c r="B159" s="14" t="inlineStr">
        <is>
          <t>عام ومشترك</t>
        </is>
      </c>
      <c r="C159" s="15" t="inlineStr">
        <is>
          <t>القفل المتفائل 409</t>
        </is>
      </c>
      <c r="D159" s="14" t="inlineStr">
        <is>
          <t>مستخدمان على PO/موظف/عرض</t>
        </is>
      </c>
      <c r="E159" s="14" t="inlineStr">
        <is>
          <t>1. كلاهما يعدل نفس السجل</t>
        </is>
      </c>
      <c r="F159" s="14" t="inlineStr">
        <is>
          <t>الثاني 409 ورسالة عربية لإعادة التحميل، دون فقدان بيانات</t>
        </is>
      </c>
      <c r="G159" s="13" t="inlineStr">
        <is>
          <t>P1</t>
        </is>
      </c>
      <c r="H159" s="14" t="inlineStr">
        <is>
          <t>حالات حدّية</t>
        </is>
      </c>
      <c r="I159" s="13" t="inlineStr">
        <is>
          <t>لم يُختبر</t>
        </is>
      </c>
      <c r="J159" s="14" t="inlineStr"/>
      <c r="K159" s="13" t="inlineStr"/>
      <c r="L159" s="14" t="inlineStr"/>
    </row>
    <row r="160">
      <c r="A160" s="13" t="inlineStr">
        <is>
          <t>TC-D-159</t>
        </is>
      </c>
      <c r="B160" s="14" t="inlineStr">
        <is>
          <t>عام ومشترك</t>
        </is>
      </c>
      <c r="C160" s="15" t="inlineStr">
        <is>
          <t>حدود التاريخ بتوقيت الرياض</t>
        </is>
      </c>
      <c r="D160" s="14" t="inlineStr">
        <is>
          <t>الساعة 23:30 UTC (02:30 الرياض)</t>
        </is>
      </c>
      <c r="E160" s="14" t="inlineStr">
        <is>
          <t>1. أنشئ إجازة/دفعة بتاريخ اليوم
2. تحقق من صلاحية عرض وظيفي ينتهي «اليوم»</t>
        </is>
      </c>
      <c r="F160" s="14" t="inlineStr">
        <is>
          <t>التاريخ المعتمد هو تاريخ الرياض؛ لا خطأ «future date»</t>
        </is>
      </c>
      <c r="G160" s="13" t="inlineStr">
        <is>
          <t>P1</t>
        </is>
      </c>
      <c r="H160" s="14" t="inlineStr">
        <is>
          <t>حالات حدّية</t>
        </is>
      </c>
      <c r="I160" s="13" t="inlineStr">
        <is>
          <t>لم يُختبر</t>
        </is>
      </c>
      <c r="J160" s="14" t="inlineStr"/>
      <c r="K160" s="13" t="inlineStr"/>
      <c r="L160" s="14" t="inlineStr"/>
    </row>
    <row r="161">
      <c r="A161" s="13" t="inlineStr">
        <is>
          <t>TC-D-160</t>
        </is>
      </c>
      <c r="B161" s="14" t="inlineStr">
        <is>
          <t>عام ومشترك</t>
        </is>
      </c>
      <c r="C161" s="15" t="inlineStr">
        <is>
          <t>النسخ الاحتياطي والاستعادة</t>
        </is>
      </c>
      <c r="D161" s="14" t="inlineStr">
        <is>
          <t>بيئة staging</t>
        </is>
      </c>
      <c r="E161" s="14" t="inlineStr">
        <is>
          <t>1. نفذ نسخة احتياطية عبر infra/prod/mmc.sh
2. استعدها على خادم نظيف</t>
        </is>
      </c>
      <c r="F161" s="14" t="inlineStr">
        <is>
          <t>البيانات والملفات مستعادة، سلسلة التدقيق سليمة، الأرقام تكمل</t>
        </is>
      </c>
      <c r="G161" s="13" t="inlineStr">
        <is>
          <t>P1</t>
        </is>
      </c>
      <c r="H161" s="14" t="inlineStr">
        <is>
          <t>تكامل</t>
        </is>
      </c>
      <c r="I161" s="13" t="inlineStr">
        <is>
          <t>لم يُختبر</t>
        </is>
      </c>
      <c r="J161" s="14" t="inlineStr"/>
      <c r="K161" s="13" t="inlineStr"/>
      <c r="L161" s="14" t="inlineStr"/>
    </row>
    <row r="162">
      <c r="A162" s="13" t="inlineStr">
        <is>
          <t>TC-D-161</t>
        </is>
      </c>
      <c r="B162" s="14" t="inlineStr">
        <is>
          <t>عام ومشترك</t>
        </is>
      </c>
      <c r="C162" s="15" t="inlineStr">
        <is>
          <t>النشر: migrate وseed عند up</t>
        </is>
      </c>
      <c r="D162" s="14" t="inlineStr">
        <is>
          <t>إصدار جديد بصلاحيات hr.*</t>
        </is>
      </c>
      <c r="E162" s="14" t="inlineStr">
        <is>
          <t>1. شغّل mmc.sh up
2. سجّل كمالك وتحقق من الأدوار</t>
        </is>
      </c>
      <c r="F162" s="14" t="inlineStr">
        <is>
          <t>الترحيلات تُطبق ثم seed؛ الصلاحيات الجديدة تظهر للأدوار بعد seed فقط</t>
        </is>
      </c>
      <c r="G162" s="13" t="inlineStr">
        <is>
          <t>P1</t>
        </is>
      </c>
      <c r="H162" s="14" t="inlineStr">
        <is>
          <t>تكامل</t>
        </is>
      </c>
      <c r="I162" s="13" t="inlineStr">
        <is>
          <t>لم يُختبر</t>
        </is>
      </c>
      <c r="J162" s="14" t="inlineStr"/>
      <c r="K162" s="13" t="inlineStr"/>
      <c r="L162" s="14" t="inlineStr"/>
    </row>
    <row r="163">
      <c r="A163" s="13" t="inlineStr">
        <is>
          <t>TC-D-162</t>
        </is>
      </c>
      <c r="B163" s="14" t="inlineStr">
        <is>
          <t>عام ومشترك</t>
        </is>
      </c>
      <c r="C163" s="15" t="inlineStr">
        <is>
          <t>الصفحات العامة لا تظهر التكلفة</t>
        </is>
      </c>
      <c r="D163" s="14" t="inlineStr">
        <is>
          <t>رابط /q/[token]</t>
        </is>
      </c>
      <c r="E163" s="14" t="inlineStr">
        <is>
          <t>1. افتح الصفحة وافحص الشبكة</t>
        </is>
      </c>
      <c r="F163" s="14" t="inlineStr">
        <is>
          <t>لا تكلفة ولا هامش في HTML أو JSON</t>
        </is>
      </c>
      <c r="G163" s="13" t="inlineStr">
        <is>
          <t>P1</t>
        </is>
      </c>
      <c r="H163" s="14" t="inlineStr">
        <is>
          <t>أمان</t>
        </is>
      </c>
      <c r="I163" s="13" t="inlineStr">
        <is>
          <t>لم يُختبر</t>
        </is>
      </c>
      <c r="J163" s="14" t="inlineStr"/>
      <c r="K163" s="13" t="inlineStr"/>
      <c r="L163" s="14" t="inlineStr"/>
    </row>
    <row r="164">
      <c r="A164" s="13" t="inlineStr">
        <is>
          <t>TC-D-163</t>
        </is>
      </c>
      <c r="B164" s="14" t="inlineStr">
        <is>
          <t>عام ومشترك</t>
        </is>
      </c>
      <c r="C164" s="15" t="inlineStr">
        <is>
          <t>العربية/الإنجليزية وRTL</t>
        </is>
      </c>
      <c r="D164" s="14" t="inlineStr">
        <is>
          <t>مستخدم</t>
        </is>
      </c>
      <c r="E164" s="14" t="inlineStr">
        <is>
          <t>1. بدّل اللغة إلى English في صفحات HR والمشتريات والمخزون</t>
        </is>
      </c>
      <c r="F164" s="14" t="inlineStr">
        <is>
          <t>كل النصوص مترجمة، الاتجاه LTR، لا مفاتيح ترجمة خام</t>
        </is>
      </c>
      <c r="G164" s="13" t="inlineStr">
        <is>
          <t>P2</t>
        </is>
      </c>
      <c r="H164" s="14" t="inlineStr">
        <is>
          <t>واجهة وعرض</t>
        </is>
      </c>
      <c r="I164" s="13" t="inlineStr">
        <is>
          <t>لم يُختبر</t>
        </is>
      </c>
      <c r="J164" s="14" t="inlineStr"/>
      <c r="K164" s="13" t="inlineStr"/>
      <c r="L164" s="14" t="inlineStr"/>
    </row>
    <row r="165">
      <c r="A165" s="13" t="inlineStr">
        <is>
          <t>TC-D-164</t>
        </is>
      </c>
      <c r="B165" s="14" t="inlineStr">
        <is>
          <t>عام ومشترك</t>
        </is>
      </c>
      <c r="C165" s="15" t="inlineStr">
        <is>
          <t>الجوال 375px</t>
        </is>
      </c>
      <c r="D165" s="14" t="inlineStr">
        <is>
          <t>مستخدم</t>
        </is>
      </c>
      <c r="E165" s="14" t="inlineStr">
        <is>
          <t>1. افتح /hr/me و/purchasing/orders و/inventory على جوال</t>
        </is>
      </c>
      <c r="F165" s="14" t="inlineStr">
        <is>
          <t>لا تمرير أفقي للصفحة، الجداول قابلة للتمرير داخليًا، الأزرار ≥ 44px</t>
        </is>
      </c>
      <c r="G165" s="13" t="inlineStr">
        <is>
          <t>P2</t>
        </is>
      </c>
      <c r="H165" s="14" t="inlineStr">
        <is>
          <t>واجهة وعرض</t>
        </is>
      </c>
      <c r="I165" s="13" t="inlineStr">
        <is>
          <t>لم يُختبر</t>
        </is>
      </c>
      <c r="J165" s="14" t="inlineStr"/>
      <c r="K165" s="13" t="inlineStr"/>
      <c r="L165" s="14" t="inlineStr"/>
    </row>
    <row r="166">
      <c r="A166" s="13" t="inlineStr">
        <is>
          <t>TC-D-165</t>
        </is>
      </c>
      <c r="B166" s="14" t="inlineStr">
        <is>
          <t>عام ومشترك</t>
        </is>
      </c>
      <c r="C166" s="15" t="inlineStr">
        <is>
          <t>تعطل Gotenberg</t>
        </is>
      </c>
      <c r="D166" s="14" t="inlineStr">
        <is>
          <t>إيقاف Gotenberg</t>
        </is>
      </c>
      <c r="E166" s="14" t="inlineStr">
        <is>
          <t>1. حمّل PDF عرض وظيفي وأمر شراء</t>
        </is>
      </c>
      <c r="F166" s="14" t="inlineStr">
        <is>
          <t>رسالة خطأ عربية واضحة (503) دون انهيار التطبيق؛ يعود العمل بعد التشغيل</t>
        </is>
      </c>
      <c r="G166" s="13" t="inlineStr">
        <is>
          <t>P2</t>
        </is>
      </c>
      <c r="H166" s="14" t="inlineStr">
        <is>
          <t>تكامل</t>
        </is>
      </c>
      <c r="I166" s="13" t="inlineStr">
        <is>
          <t>لم يُختبر</t>
        </is>
      </c>
      <c r="J166" s="14" t="inlineStr"/>
      <c r="K166" s="13" t="inlineStr"/>
      <c r="L166" s="14" t="inlineStr"/>
    </row>
    <row r="167">
      <c r="A167" s="13" t="inlineStr">
        <is>
          <t>TC-D-166</t>
        </is>
      </c>
      <c r="B167" s="14" t="inlineStr">
        <is>
          <t>عام ومشترك</t>
        </is>
      </c>
      <c r="C167" s="15" t="inlineStr">
        <is>
          <t>تعطل قاعدة البيانات</t>
        </is>
      </c>
      <c r="D167" s="14" t="inlineStr">
        <is>
          <t>إيقاف Postgres لحظيًا</t>
        </is>
      </c>
      <c r="E167" s="14" t="inlineStr">
        <is>
          <t>1. نفذ أي حفظ</t>
        </is>
      </c>
      <c r="F167" s="14" t="inlineStr">
        <is>
          <t>خطأ واضح دون حفظ جزئي (المعاملات تُلغى)؛ /health يبلّغ</t>
        </is>
      </c>
      <c r="G167" s="13" t="inlineStr">
        <is>
          <t>P2</t>
        </is>
      </c>
      <c r="H167" s="14" t="inlineStr">
        <is>
          <t>تكامل</t>
        </is>
      </c>
      <c r="I167" s="13" t="inlineStr">
        <is>
          <t>لم يُختبر</t>
        </is>
      </c>
      <c r="J167" s="14" t="inlineStr"/>
      <c r="K167" s="13" t="inlineStr"/>
      <c r="L167" s="14" t="inlineStr"/>
    </row>
    <row r="168">
      <c r="A168" s="13" t="inlineStr">
        <is>
          <t>TC-D-167</t>
        </is>
      </c>
      <c r="B168" s="14" t="inlineStr">
        <is>
          <t>عام ومشترك</t>
        </is>
      </c>
      <c r="C168" s="15" t="inlineStr">
        <is>
          <t>استيراد البيانات القديمة</t>
        </is>
      </c>
      <c r="D168" s="14" t="inlineStr">
        <is>
          <t>ملفات JSON من النظام القديم</t>
        </is>
      </c>
      <c r="E168" s="14" t="inlineStr">
        <is>
          <t>1. شغّل import-legacy
2. أعد التشغيل مرة ثانية</t>
        </is>
      </c>
      <c r="F168" s="14" t="inlineStr">
        <is>
          <t>العروض/العقود مستوردة بأرقامها؛ إعادة التشغيل لا تكرر</t>
        </is>
      </c>
      <c r="G168" s="13" t="inlineStr">
        <is>
          <t>P2</t>
        </is>
      </c>
      <c r="H168" s="14" t="inlineStr">
        <is>
          <t>تكامل</t>
        </is>
      </c>
      <c r="I168" s="13" t="inlineStr">
        <is>
          <t>لم يُختبر</t>
        </is>
      </c>
      <c r="J168" s="14" t="inlineStr"/>
      <c r="K168" s="13" t="inlineStr"/>
      <c r="L168" s="14" t="inlineStr"/>
    </row>
    <row r="169">
      <c r="A169" s="13" t="inlineStr">
        <is>
          <t>TC-D-168</t>
        </is>
      </c>
      <c r="B169" s="14" t="inlineStr">
        <is>
          <t>عام ومشترك</t>
        </is>
      </c>
      <c r="C169" s="15" t="inlineStr">
        <is>
          <t>الأداة القديمة index.html — عرض سعر</t>
        </is>
      </c>
      <c r="D169" s="14" t="inlineStr">
        <is>
          <t>الإعدادات (API key, Sheet ID, Apps Script URL)</t>
        </is>
      </c>
      <c r="E169" s="14" t="inlineStr">
        <is>
          <t>1. افتح index.html
2. أنشئ عرضًا من الكتالوج واحفظه في Drive وصدّر Excel</t>
        </is>
      </c>
      <c r="F169" s="14" t="inlineStr">
        <is>
          <t>يعمل بلا أخطاء CSP</t>
        </is>
      </c>
      <c r="G169" s="13" t="inlineStr">
        <is>
          <t>P2</t>
        </is>
      </c>
      <c r="H169" s="14" t="inlineStr">
        <is>
          <t>تكامل</t>
        </is>
      </c>
      <c r="I169" s="13" t="inlineStr">
        <is>
          <t>لم يُختبر</t>
        </is>
      </c>
      <c r="J169" s="14" t="inlineStr"/>
      <c r="K169" s="13" t="inlineStr"/>
      <c r="L169" s="14" t="inlineStr"/>
    </row>
    <row r="170">
      <c r="A170" s="13" t="inlineStr">
        <is>
          <t>TC-D-169</t>
        </is>
      </c>
      <c r="B170" s="14" t="inlineStr">
        <is>
          <t>عام ومشترك</t>
        </is>
      </c>
      <c r="C170" s="15" t="inlineStr">
        <is>
          <t>الأداة القديمة — ترقيم فاتورة ZATCA</t>
        </is>
      </c>
      <c r="D170" s="14" t="inlineStr">
        <is>
          <t>فواتير سابقة في المجلد</t>
        </is>
      </c>
      <c r="E170" s="14" t="inlineStr">
        <is>
          <t>1. أصدر فاتورة على جهازين بنفس اللحظة</t>
        </is>
      </c>
      <c r="F170" s="14" t="inlineStr">
        <is>
          <t>الرقم التالي = الأعلى + 1، وتحذير action:updated عند التعارض</t>
        </is>
      </c>
      <c r="G170" s="13" t="inlineStr">
        <is>
          <t>P2</t>
        </is>
      </c>
      <c r="H170" s="14" t="inlineStr">
        <is>
          <t>تكامل</t>
        </is>
      </c>
      <c r="I170" s="13" t="inlineStr">
        <is>
          <t>لم يُختبر</t>
        </is>
      </c>
      <c r="J170" s="14" t="inlineStr"/>
      <c r="K170" s="13" t="inlineStr"/>
      <c r="L170" s="14" t="inlineStr"/>
    </row>
    <row r="171">
      <c r="A171" s="13" t="inlineStr">
        <is>
          <t>TC-D-170</t>
        </is>
      </c>
      <c r="B171" s="14" t="inlineStr">
        <is>
          <t>عام ومشترك</t>
        </is>
      </c>
      <c r="C171" s="15" t="inlineStr">
        <is>
          <t>انتهاء الجلسة</t>
        </is>
      </c>
      <c r="D171" s="14" t="inlineStr">
        <is>
          <t>جلسة منتهية</t>
        </is>
      </c>
      <c r="E171" s="14" t="inlineStr">
        <is>
          <t>1. أرسل حفظًا لنموذج HR</t>
        </is>
      </c>
      <c r="F171" s="14" t="inlineStr">
        <is>
          <t>401 وتحويل لتسجيل الدخول مع حفظ المسودة إن أمكن</t>
        </is>
      </c>
      <c r="G171" s="13" t="inlineStr">
        <is>
          <t>P2</t>
        </is>
      </c>
      <c r="H171" s="14" t="inlineStr">
        <is>
          <t>أمان</t>
        </is>
      </c>
      <c r="I171" s="13" t="inlineStr">
        <is>
          <t>لم يُختبر</t>
        </is>
      </c>
      <c r="J171" s="14" t="inlineStr"/>
      <c r="K171" s="13" t="inlineStr"/>
      <c r="L171" s="14" t="inlineStr"/>
    </row>
    <row r="172">
      <c r="A172" s="13" t="inlineStr">
        <is>
          <t>TC-D-171</t>
        </is>
      </c>
      <c r="B172" s="14" t="inlineStr">
        <is>
          <t>عام ومشترك</t>
        </is>
      </c>
      <c r="C172" s="15" t="inlineStr">
        <is>
          <t>إمكانية الوصول</t>
        </is>
      </c>
      <c r="D172" s="14" t="inlineStr">
        <is>
          <t>قارئ شاشة/لوحة مفاتيح</t>
        </is>
      </c>
      <c r="E172" s="14" t="inlineStr">
        <is>
          <t>1. تنقل بـ Tab في نموذج العرض الوظيفي والإجازة</t>
        </is>
      </c>
      <c r="F172" s="14" t="inlineStr">
        <is>
          <t>تسميات الحقول مقروءة، التركيز ظاهر، الأخطاء مرتبطة بالحقل، التباين كافٍ في الوضعين</t>
        </is>
      </c>
      <c r="G172" s="13" t="inlineStr">
        <is>
          <t>P3</t>
        </is>
      </c>
      <c r="H172" s="14" t="inlineStr">
        <is>
          <t>واجهة وعرض</t>
        </is>
      </c>
      <c r="I172" s="13" t="inlineStr">
        <is>
          <t>لم يُختبر</t>
        </is>
      </c>
      <c r="J172" s="14" t="inlineStr"/>
      <c r="K172" s="13" t="inlineStr"/>
      <c r="L172" s="14" t="inlineStr"/>
    </row>
    <row r="173">
      <c r="A173" s="13" t="inlineStr">
        <is>
          <t>TC-D-172</t>
        </is>
      </c>
      <c r="B173" s="14" t="inlineStr">
        <is>
          <t>عام ومشترك</t>
        </is>
      </c>
      <c r="C173" s="15" t="inlineStr">
        <is>
          <t>الأداء مع قوائم كبيرة</t>
        </is>
      </c>
      <c r="D173" s="14" t="inlineStr">
        <is>
          <t>5,000 موظف و20,000 إجازة</t>
        </is>
      </c>
      <c r="E173" s="14" t="inlineStr">
        <is>
          <t>1. افتح القوائم واحسب مسير الشهر</t>
        </is>
      </c>
      <c r="F173" s="14" t="inlineStr">
        <is>
          <t>⚠ للتأكيد (السلوك المتوقع افتراض وليس قاعدة في الكود): القوائم &lt; 2 ثانية؛ المسير &lt; 30 ثانية</t>
        </is>
      </c>
      <c r="G173" s="13" t="inlineStr">
        <is>
          <t>P3</t>
        </is>
      </c>
      <c r="H173" s="14" t="inlineStr">
        <is>
          <t>أداء</t>
        </is>
      </c>
      <c r="I173" s="13" t="inlineStr">
        <is>
          <t>لم يُختبر</t>
        </is>
      </c>
      <c r="J173" s="14" t="inlineStr"/>
      <c r="K173" s="13" t="inlineStr"/>
      <c r="L173" s="14" t="inlineStr"/>
    </row>
    <row r="174">
      <c r="A174" s="13" t="inlineStr">
        <is>
          <t>TC-D-173</t>
        </is>
      </c>
      <c r="B174" s="14" t="inlineStr">
        <is>
          <t>عام ومشترك</t>
        </is>
      </c>
      <c r="C174" s="15" t="inlineStr">
        <is>
          <t>الأداة القديمة — حساب التكلفة للمسؤول فقط</t>
        </is>
      </c>
      <c r="D174" s="14" t="inlineStr">
        <is>
          <t>مستخدم غير مسؤول</t>
        </is>
      </c>
      <c r="E174" s="14" t="inlineStr">
        <is>
          <t>1. افتح ☰ خيارات</t>
        </is>
      </c>
      <c r="F174" s="14" t="inlineStr">
        <is>
          <t>لا يظهر «حساب التكلفة»؛ يظهر لـ adminIds/adminEmails</t>
        </is>
      </c>
      <c r="G174" s="13" t="inlineStr">
        <is>
          <t>P3</t>
        </is>
      </c>
      <c r="H174" s="14" t="inlineStr">
        <is>
          <t>صلاحيات</t>
        </is>
      </c>
      <c r="I174" s="13" t="inlineStr">
        <is>
          <t>لم يُختبر</t>
        </is>
      </c>
      <c r="J174" s="14" t="inlineStr"/>
      <c r="K174" s="13" t="inlineStr"/>
      <c r="L174" s="14" t="inlineStr"/>
    </row>
  </sheetData>
  <autoFilter ref="A1:L174"/>
  <conditionalFormatting sqref="A2:L174">
    <cfRule type="expression" priority="1" dxfId="0">
      <formula>$I2="ناجح"</formula>
    </cfRule>
    <cfRule type="expression" priority="2" dxfId="1">
      <formula>$I2="فاشل"</formula>
    </cfRule>
    <cfRule type="expression" priority="3" dxfId="2">
      <formula>$I2="محجوب"</formula>
    </cfRule>
  </conditionalFormatting>
  <conditionalFormatting sqref="G2:G174">
    <cfRule type="expression" priority="4" dxfId="3">
      <formula>$G2="P1"</formula>
    </cfRule>
  </conditionalFormatting>
  <dataValidations count="2">
    <dataValidation sqref="I2:I174" showDropDown="0" showInputMessage="0" showErrorMessage="0" allowBlank="0" type="list">
      <formula1>"لم يُختبر,ناجح,فاشل,محجوب"</formula1>
    </dataValidation>
    <dataValidation sqref="G2:G174" showDropDown="0" showInputMessage="0" showErrorMessage="0" allowBlank="0" type="list">
      <formula1>"P1,P2,P3"</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98"/>
  <sheetViews>
    <sheetView rightToLeft="1"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8" customWidth="1" min="3" max="3"/>
    <col width="28" customWidth="1" min="4" max="4"/>
    <col width="52" customWidth="1" min="5" max="5"/>
    <col width="46" customWidth="1" min="6" max="6"/>
    <col width="9" customWidth="1" min="7" max="7"/>
    <col width="14" customWidth="1" min="8" max="8"/>
    <col width="12" customWidth="1" min="9" max="9"/>
    <col width="14" customWidth="1" min="10" max="10"/>
    <col width="13" customWidth="1" min="11" max="11"/>
    <col width="30" customWidth="1" min="12" max="12"/>
  </cols>
  <sheetData>
    <row r="1">
      <c r="A1" s="3" t="inlineStr">
        <is>
          <t>الرقم</t>
        </is>
      </c>
      <c r="B1" s="3" t="inlineStr">
        <is>
          <t>الوحدة</t>
        </is>
      </c>
      <c r="C1" s="3" t="inlineStr">
        <is>
          <t>السيناريو</t>
        </is>
      </c>
      <c r="D1" s="3" t="inlineStr">
        <is>
          <t>الشروط المسبقة / الدور</t>
        </is>
      </c>
      <c r="E1" s="3" t="inlineStr">
        <is>
          <t>الخطوات</t>
        </is>
      </c>
      <c r="F1" s="3" t="inlineStr">
        <is>
          <t>النتيجة المتوقعة</t>
        </is>
      </c>
      <c r="G1" s="3" t="inlineStr">
        <is>
          <t>الأولوية</t>
        </is>
      </c>
      <c r="H1" s="3" t="inlineStr">
        <is>
          <t>النوع</t>
        </is>
      </c>
      <c r="I1" s="3" t="inlineStr">
        <is>
          <t>الحالة</t>
        </is>
      </c>
      <c r="J1" s="3" t="inlineStr">
        <is>
          <t>المختبِر</t>
        </is>
      </c>
      <c r="K1" s="3" t="inlineStr">
        <is>
          <t>تاريخ الاختبار</t>
        </is>
      </c>
      <c r="L1" s="3" t="inlineStr">
        <is>
          <t>ملاحظات / رقم البلاغ</t>
        </is>
      </c>
    </row>
    <row r="2">
      <c r="A2" s="13" t="inlineStr">
        <is>
          <t>TC-E-001</t>
        </is>
      </c>
      <c r="B2" s="14" t="inlineStr">
        <is>
          <t>دليل الحسابات</t>
        </is>
      </c>
      <c r="C2" s="15" t="inlineStr">
        <is>
          <t>دليل الحسابات السعودي الجاهز يظهر عند أول فتح، ومن لا يملك صلاحية الدفتر لا يراه</t>
        </is>
      </c>
      <c r="D2" s="14" t="inlineStr">
        <is>
          <t>مستأجر جديد؛ مستخدم مبيعات بلا صلاحية ledger.read ومحاسب بصلاحية ledger.read</t>
        </is>
      </c>
      <c r="E2" s="14" t="inlineStr">
        <is>
          <t>1. بدور المحاسب افتح /accounting/accounts
2. سجّل الدخول بدور المبيعات وحاول فتح الصفحة نفسها</t>
        </is>
      </c>
      <c r="F2" s="14" t="inlineStr">
        <is>
          <t>يظهر الدليل هرميًا (مجموعات وحسابات: 1101 الصندوق، 1110 العملاء، 2110 ضريبة المخرجات، 4101 المبيعات…) وبأسماء عربية. المبيعات لا ترى بند «الحسابات» في القائمة ويُرفض الطلب 403</t>
        </is>
      </c>
      <c r="G2" s="13" t="inlineStr">
        <is>
          <t>P1</t>
        </is>
      </c>
      <c r="H2" s="14" t="inlineStr">
        <is>
          <t>صلاحيات</t>
        </is>
      </c>
      <c r="I2" s="13" t="inlineStr">
        <is>
          <t>لم يُختبر</t>
        </is>
      </c>
      <c r="J2" s="14" t="n"/>
      <c r="K2" s="13" t="n"/>
      <c r="L2" s="14" t="n"/>
    </row>
    <row r="3">
      <c r="A3" s="13" t="inlineStr">
        <is>
          <t>TC-E-002</t>
        </is>
      </c>
      <c r="B3" s="14" t="inlineStr">
        <is>
          <t>دليل الحسابات</t>
        </is>
      </c>
      <c r="C3" s="15" t="inlineStr">
        <is>
          <t>إضافة حساب تحت مجموعة من النوع نفسه برمز فريد</t>
        </is>
      </c>
      <c r="D3" s="14" t="inlineStr">
        <is>
          <t>محاسب (ledger.write)</t>
        </is>
      </c>
      <c r="E3" s="14" t="inlineStr">
        <is>
          <t>1. اضغط «حساب جديد»
2. اختر مجموعة المصروفات 62 وأدخل رمزًا جديدًا واسمًا عربيًا
3. احفظ</t>
        </is>
      </c>
      <c r="F3" s="14" t="inlineStr">
        <is>
          <t>يُنشأ الحساب تحت المجموعة بنوع المجموعة نفسه ويظهر في الدليل وفي قوائم اختيار القيود</t>
        </is>
      </c>
      <c r="G3" s="13" t="inlineStr">
        <is>
          <t>P2</t>
        </is>
      </c>
      <c r="H3" s="14" t="inlineStr">
        <is>
          <t>وظيفي</t>
        </is>
      </c>
      <c r="I3" s="13" t="inlineStr">
        <is>
          <t>لم يُختبر</t>
        </is>
      </c>
      <c r="J3" s="14" t="n"/>
      <c r="K3" s="13" t="n"/>
      <c r="L3" s="14" t="n"/>
    </row>
    <row r="4">
      <c r="A4" s="13" t="inlineStr">
        <is>
          <t>TC-E-003</t>
        </is>
      </c>
      <c r="B4" s="14" t="inlineStr">
        <is>
          <t>دليل الحسابات</t>
        </is>
      </c>
      <c r="C4" s="15" t="inlineStr">
        <is>
          <t>رمز حساب مكرر أو نوع لا يطابق المجموعة يُرفض</t>
        </is>
      </c>
      <c r="D4" s="14" t="inlineStr">
        <is>
          <t>محاسب</t>
        </is>
      </c>
      <c r="E4" s="14" t="inlineStr">
        <is>
          <t>1. أنشئ حسابًا برمز موجود مسبقًا
2. أنشئ حساب إيراد تحت مجموعة مصروفات</t>
        </is>
      </c>
      <c r="F4" s="14" t="inlineStr">
        <is>
          <t>رفض 400 برسالة واضحة في الحالتين ولا يُحفظ شيء</t>
        </is>
      </c>
      <c r="G4" s="13" t="inlineStr">
        <is>
          <t>P2</t>
        </is>
      </c>
      <c r="H4" s="14" t="inlineStr">
        <is>
          <t>تحقق من المدخلات</t>
        </is>
      </c>
      <c r="I4" s="13" t="inlineStr">
        <is>
          <t>لم يُختبر</t>
        </is>
      </c>
      <c r="J4" s="14" t="n"/>
      <c r="K4" s="13" t="n"/>
      <c r="L4" s="14" t="n"/>
    </row>
    <row r="5">
      <c r="A5" s="13" t="inlineStr">
        <is>
          <t>TC-E-004</t>
        </is>
      </c>
      <c r="B5" s="14" t="inlineStr">
        <is>
          <t>دليل الحسابات</t>
        </is>
      </c>
      <c r="C5" s="15" t="inlineStr">
        <is>
          <t>لا يُغيَّر رمز الحساب أو نوعه بعد استخدامه، ويُسمح بتغيير الاسم</t>
        </is>
      </c>
      <c r="D5" s="14" t="inlineStr">
        <is>
          <t>حساب عليه حركات مرحّلة</t>
        </is>
      </c>
      <c r="E5" s="14" t="inlineStr">
        <is>
          <t>1. افتح الحساب وعدّل الاسم العربي واحفظ
2. حاول تغيير الرمز أو النوع</t>
        </is>
      </c>
      <c r="F5" s="14" t="inlineStr">
        <is>
          <t>تغيير الاسم ينجح. تغيير الرمز/النوع مرفوض مع سبب (الحساب مستخدم)</t>
        </is>
      </c>
      <c r="G5" s="13" t="inlineStr">
        <is>
          <t>P1</t>
        </is>
      </c>
      <c r="H5" s="14" t="inlineStr">
        <is>
          <t>حالات حدّية</t>
        </is>
      </c>
      <c r="I5" s="13" t="inlineStr">
        <is>
          <t>لم يُختبر</t>
        </is>
      </c>
      <c r="J5" s="14" t="n"/>
      <c r="K5" s="13" t="n"/>
      <c r="L5" s="14" t="n"/>
    </row>
    <row r="6">
      <c r="A6" s="13" t="inlineStr">
        <is>
          <t>TC-E-005</t>
        </is>
      </c>
      <c r="B6" s="14" t="inlineStr">
        <is>
          <t>دليل الحسابات</t>
        </is>
      </c>
      <c r="C6" s="15" t="inlineStr">
        <is>
          <t>تعطيل حساب غير مستخدم وحذفه؛ الحساب المستخدم لا يُحذف</t>
        </is>
      </c>
      <c r="D6" s="14" t="inlineStr">
        <is>
          <t>حساب جديد بلا حركات وآخر عليه حركات</t>
        </is>
      </c>
      <c r="E6" s="14" t="inlineStr">
        <is>
          <t>1. عطّل الحساب الجديد ثم احذفه
2. حاول حذف الحساب المستخدم</t>
        </is>
      </c>
      <c r="F6" s="14" t="inlineStr">
        <is>
          <t>الأول يُعطَّل ثم يُحذف ولا يظهر في الاختيار. الثاني مرفوض (يُعطَّل فقط) وتبقى حركاته</t>
        </is>
      </c>
      <c r="G6" s="13" t="inlineStr">
        <is>
          <t>P2</t>
        </is>
      </c>
      <c r="H6" s="14" t="inlineStr">
        <is>
          <t>حالات حدّية</t>
        </is>
      </c>
      <c r="I6" s="13" t="inlineStr">
        <is>
          <t>لم يُختبر</t>
        </is>
      </c>
      <c r="J6" s="14" t="n"/>
      <c r="K6" s="13" t="n"/>
      <c r="L6" s="14" t="n"/>
    </row>
    <row r="7">
      <c r="A7" s="13" t="inlineStr">
        <is>
          <t>TC-E-006</t>
        </is>
      </c>
      <c r="B7" s="14" t="inlineStr">
        <is>
          <t>دليل الحسابات</t>
        </is>
      </c>
      <c r="C7" s="15" t="inlineStr">
        <is>
          <t>تصدير الدليل إلى Excel واستيراده مع معاينة قبل التطبيق</t>
        </is>
      </c>
      <c r="D7" s="14" t="inlineStr">
        <is>
          <t>محاسب</t>
        </is>
      </c>
      <c r="E7" s="14" t="inlineStr">
        <is>
          <t>1. اضغط «تصدير» وافتح الملف
2. أضف صفًّا لحساب جديد وعدّل اسم حساب في الملف
3. ارفعه واقرأ المعاينة ثم اضغط «تطبيق»</t>
        </is>
      </c>
      <c r="F7" s="14" t="inlineStr">
        <is>
          <t>الملف RTL بالرؤوس العربية. المعاينة تعدّد المضاف والمعدَّل والمرفوض قبل أي تغيير، والتطبيق يطبّق ما ظهر فقط</t>
        </is>
      </c>
      <c r="G7" s="13" t="inlineStr">
        <is>
          <t>P2</t>
        </is>
      </c>
      <c r="H7" s="14" t="inlineStr">
        <is>
          <t>تكامل</t>
        </is>
      </c>
      <c r="I7" s="13" t="inlineStr">
        <is>
          <t>لم يُختبر</t>
        </is>
      </c>
      <c r="J7" s="14" t="n"/>
      <c r="K7" s="13" t="n"/>
      <c r="L7" s="14" t="n"/>
    </row>
    <row r="8">
      <c r="A8" s="13" t="inlineStr">
        <is>
          <t>TC-E-007</t>
        </is>
      </c>
      <c r="B8" s="14" t="inlineStr">
        <is>
          <t>الأرصدة الافتتاحية</t>
        </is>
      </c>
      <c r="C8" s="15" t="inlineStr">
        <is>
          <t>الأرصدة الافتتاحية تحتاج صلاحية الإقفال (ledger.close)</t>
        </is>
      </c>
      <c r="D8" s="14" t="inlineStr">
        <is>
          <t>محاسب بلا ledger.close ومالك</t>
        </is>
      </c>
      <c r="E8" s="14" t="inlineStr">
        <is>
          <t>1. بدور المحاسب افتح /accounting/opening
2. بدور المالك افتحها</t>
        </is>
      </c>
      <c r="F8" s="14" t="inlineStr">
        <is>
          <t>المحاسب لا يرى البند ويُرفض إرسال القيد 403. المالك يدخل الأرصدة</t>
        </is>
      </c>
      <c r="G8" s="13" t="inlineStr">
        <is>
          <t>P1</t>
        </is>
      </c>
      <c r="H8" s="14" t="inlineStr">
        <is>
          <t>صلاحيات</t>
        </is>
      </c>
      <c r="I8" s="13" t="inlineStr">
        <is>
          <t>لم يُختبر</t>
        </is>
      </c>
      <c r="J8" s="14" t="n"/>
      <c r="K8" s="13" t="n"/>
      <c r="L8" s="14" t="n"/>
    </row>
    <row r="9">
      <c r="A9" s="13" t="inlineStr">
        <is>
          <t>TC-E-008</t>
        </is>
      </c>
      <c r="B9" s="14" t="inlineStr">
        <is>
          <t>الأرصدة الافتتاحية</t>
        </is>
      </c>
      <c r="C9" s="15" t="inlineStr">
        <is>
          <t>تُوازَن الأرصدة تلقائيًا مقابل «الرصيد الافتتاحي لحقوق الملكية» (3301)</t>
        </is>
      </c>
      <c r="D9" s="14" t="inlineStr">
        <is>
          <t>مالك؛ تاريخ بدء التشغيل أول السنة</t>
        </is>
      </c>
      <c r="E9" s="14" t="inlineStr">
        <is>
          <t>1. أدخل بنكًا 50,000 وصندوقًا 5,000 ورأس مال 40,000
2. احفظ</t>
        </is>
      </c>
      <c r="F9" s="14" t="inlineStr">
        <is>
          <t>يُنشأ قيد مسودة بنوع opening إجماليه 55,000، وسطر 3301 دائن 15,000 يوازن الفرق. تعطيل «موازنة تلقائية» مع فرق يُرفض 400</t>
        </is>
      </c>
      <c r="G9" s="13" t="inlineStr">
        <is>
          <t>P1</t>
        </is>
      </c>
      <c r="H9" s="14" t="inlineStr">
        <is>
          <t>وظيفي</t>
        </is>
      </c>
      <c r="I9" s="13" t="inlineStr">
        <is>
          <t>لم يُختبر</t>
        </is>
      </c>
      <c r="J9" s="14" t="n"/>
      <c r="K9" s="13" t="n"/>
      <c r="L9" s="14" t="n"/>
    </row>
    <row r="10">
      <c r="A10" s="13" t="inlineStr">
        <is>
          <t>TC-E-009</t>
        </is>
      </c>
      <c r="B10" s="14" t="inlineStr">
        <is>
          <t>الأرصدة الافتتاحية</t>
        </is>
      </c>
      <c r="C10" s="15" t="inlineStr">
        <is>
          <t>قيد افتتاحي حيّ واحد فقط</t>
        </is>
      </c>
      <c r="D10" s="14" t="inlineStr">
        <is>
          <t>قيد افتتاحي موجود (مسودة أو مرحّل)</t>
        </is>
      </c>
      <c r="E10" s="14" t="inlineStr">
        <is>
          <t>1. حاول إنشاء قيد افتتاحي ثانٍ</t>
        </is>
      </c>
      <c r="F10" s="14" t="inlineStr">
        <is>
          <t>رفض 409؛ يُحرَّر القائم أو يُعكس أولًا</t>
        </is>
      </c>
      <c r="G10" s="13" t="inlineStr">
        <is>
          <t>P2</t>
        </is>
      </c>
      <c r="H10" s="14" t="inlineStr">
        <is>
          <t>حالات حدّية</t>
        </is>
      </c>
      <c r="I10" s="13" t="inlineStr">
        <is>
          <t>لم يُختبر</t>
        </is>
      </c>
      <c r="J10" s="14" t="n"/>
      <c r="K10" s="13" t="n"/>
      <c r="L10" s="14" t="n"/>
    </row>
    <row r="11">
      <c r="A11" s="13" t="inlineStr">
        <is>
          <t>TC-E-010</t>
        </is>
      </c>
      <c r="B11" s="14" t="inlineStr">
        <is>
          <t>الأرصدة الافتتاحية</t>
        </is>
      </c>
      <c r="C11" s="15" t="inlineStr">
        <is>
          <t>ترحيل الافتتاحي بشخص ثانٍ يحدّد تاريخ بدء التشغيل</t>
        </is>
      </c>
      <c r="D11" s="14" t="inlineStr">
        <is>
          <t>قيد افتتاحي مسودة أعدّه المالك</t>
        </is>
      </c>
      <c r="E11" s="14" t="inlineStr">
        <is>
          <t>1. بدور المحاسب (ledger.post) رحّل القيد
2. افتح /accounting/opening وإعدادات الحسابات</t>
        </is>
      </c>
      <c r="F11" s="14" t="inlineStr">
        <is>
          <t>يصبح posted ويظهر تاريخ البدء في الإعدادات. لا يُرحَّل شيء من المستندات المؤرخة قبله</t>
        </is>
      </c>
      <c r="G11" s="13" t="inlineStr">
        <is>
          <t>P1</t>
        </is>
      </c>
      <c r="H11" s="14" t="inlineStr">
        <is>
          <t>وظيفي</t>
        </is>
      </c>
      <c r="I11" s="13" t="inlineStr">
        <is>
          <t>لم يُختبر</t>
        </is>
      </c>
      <c r="J11" s="14" t="n"/>
      <c r="K11" s="13" t="n"/>
      <c r="L11" s="14" t="n"/>
    </row>
    <row r="12">
      <c r="A12" s="13" t="inlineStr">
        <is>
          <t>TC-E-011</t>
        </is>
      </c>
      <c r="B12" s="14" t="inlineStr">
        <is>
          <t>القيود اليدوية</t>
        </is>
      </c>
      <c r="C12" s="15" t="inlineStr">
        <is>
          <t>حفظ مسودة ناقصة مسموح لكن ترحيل قيد غير متوازن مرفوض</t>
        </is>
      </c>
      <c r="D12" s="14" t="inlineStr">
        <is>
          <t>محاسب</t>
        </is>
      </c>
      <c r="E12" s="14" t="inlineStr">
        <is>
          <t>1. أنشئ قيدًا: مصروف 120 مدين وصندوق 100 دائن واحفظ
2. حاول ترحيله
3. صحّح الدائن إلى 120 واحفظ</t>
        </is>
      </c>
      <c r="F12" s="14" t="inlineStr">
        <is>
          <t>يُحفظ كمسودة برقم JV-NNNNNN. الترحيل مرفوض 400 (المدين لا يساوي الدائن). بعد التصحيح يُحفظ متوازنًا</t>
        </is>
      </c>
      <c r="G12" s="13" t="inlineStr">
        <is>
          <t>P1</t>
        </is>
      </c>
      <c r="H12" s="14" t="inlineStr">
        <is>
          <t>تحقق من المدخلات</t>
        </is>
      </c>
      <c r="I12" s="13" t="inlineStr">
        <is>
          <t>لم يُختبر</t>
        </is>
      </c>
      <c r="J12" s="14" t="n"/>
      <c r="K12" s="13" t="n"/>
      <c r="L12" s="14" t="n"/>
    </row>
    <row r="13">
      <c r="A13" s="13" t="inlineStr">
        <is>
          <t>TC-E-012</t>
        </is>
      </c>
      <c r="B13" s="14" t="inlineStr">
        <is>
          <t>القيود اليدوية</t>
        </is>
      </c>
      <c r="C13" s="15" t="inlineStr">
        <is>
          <t>سطور مرفوضة: مدين ودائن معًا، حساب مجموعة، أكثر من منزلتين، تاريخ قبل البدء</t>
        </is>
      </c>
      <c r="D13" s="14" t="inlineStr">
        <is>
          <t>محاسب</t>
        </is>
      </c>
      <c r="E13" s="14" t="inlineStr">
        <is>
          <t>1. جرّب كل حالة على حدة في /accounting/journal/new</t>
        </is>
      </c>
      <c r="F13" s="14" t="inlineStr">
        <is>
          <t>كل محاولة تُرفض 400 برسالة محددة ولا يُنشأ قيد</t>
        </is>
      </c>
      <c r="G13" s="13" t="inlineStr">
        <is>
          <t>P1</t>
        </is>
      </c>
      <c r="H13" s="14" t="inlineStr">
        <is>
          <t>تحقق من المدخلات</t>
        </is>
      </c>
      <c r="I13" s="13" t="inlineStr">
        <is>
          <t>لم يُختبر</t>
        </is>
      </c>
      <c r="J13" s="14" t="n"/>
      <c r="K13" s="13" t="n"/>
      <c r="L13" s="14" t="n"/>
    </row>
    <row r="14">
      <c r="A14" s="13" t="inlineStr">
        <is>
          <t>TC-E-013</t>
        </is>
      </c>
      <c r="B14" s="14" t="inlineStr">
        <is>
          <t>القيود اليدوية</t>
        </is>
      </c>
      <c r="C14" s="15" t="inlineStr">
        <is>
          <t>حساب العملاء يتطلب اختيار العميل عند الترحيل</t>
        </is>
      </c>
      <c r="D14" s="14" t="inlineStr">
        <is>
          <t>مسودة فيها سطر على 1110 بلا عميل</t>
        </is>
      </c>
      <c r="E14" s="14" t="inlineStr">
        <is>
          <t>1. احفظ المسودة
2. حاول ترحيلها</t>
        </is>
      </c>
      <c r="F14" s="14" t="inlineStr">
        <is>
          <t>تُحفظ كمسودة، ويُرفض الترحيل 400 حتى يُحدَّد العميل</t>
        </is>
      </c>
      <c r="G14" s="13" t="inlineStr">
        <is>
          <t>P2</t>
        </is>
      </c>
      <c r="H14" s="14" t="inlineStr">
        <is>
          <t>تحقق من المدخلات</t>
        </is>
      </c>
      <c r="I14" s="13" t="inlineStr">
        <is>
          <t>لم يُختبر</t>
        </is>
      </c>
      <c r="J14" s="14" t="n"/>
      <c r="K14" s="13" t="n"/>
      <c r="L14" s="14" t="n"/>
    </row>
    <row r="15">
      <c r="A15" s="13" t="inlineStr">
        <is>
          <t>TC-E-014</t>
        </is>
      </c>
      <c r="B15" s="14" t="inlineStr">
        <is>
          <t>القيود اليدوية</t>
        </is>
      </c>
      <c r="C15" s="15" t="inlineStr">
        <is>
          <t>لا يرحّل المُعِدّ قيده بنفسه (الفصل بين الإعداد والترحيل)</t>
        </is>
      </c>
      <c r="D15" s="14" t="inlineStr">
        <is>
          <t>قيد أعدّه المحاسب</t>
        </is>
      </c>
      <c r="E15" s="14" t="inlineStr">
        <is>
          <t>1. بدور المحاسب نفسه اضغط «ترحيل»
2. بدور المدير العام اضغط «ترحيل»</t>
        </is>
      </c>
      <c r="F15" s="14" t="inlineStr">
        <is>
          <t>الأول مرفوض 403. الثاني ينجح ويصبح posted مع وقت الترحيل. المالك يرحّل قيده بنفسه</t>
        </is>
      </c>
      <c r="G15" s="13" t="inlineStr">
        <is>
          <t>P1</t>
        </is>
      </c>
      <c r="H15" s="14" t="inlineStr">
        <is>
          <t>صلاحيات</t>
        </is>
      </c>
      <c r="I15" s="13" t="inlineStr">
        <is>
          <t>لم يُختبر</t>
        </is>
      </c>
      <c r="J15" s="14" t="n"/>
      <c r="K15" s="13" t="n"/>
      <c r="L15" s="14" t="n"/>
    </row>
    <row r="16">
      <c r="A16" s="13" t="inlineStr">
        <is>
          <t>TC-E-015</t>
        </is>
      </c>
      <c r="B16" s="14" t="inlineStr">
        <is>
          <t>القيود اليدوية</t>
        </is>
      </c>
      <c r="C16" s="15" t="inlineStr">
        <is>
          <t>القيد المرحَّل لا يُعدَّل ولا يُحذف</t>
        </is>
      </c>
      <c r="D16" s="14" t="inlineStr">
        <is>
          <t>قيد مرحّل</t>
        </is>
      </c>
      <c r="E16" s="14" t="inlineStr">
        <is>
          <t>1. حاول تعديله من الواجهة
2. حاول حذفه
3. حاول ترحيله مرة ثانية</t>
        </is>
      </c>
      <c r="F16" s="14" t="inlineStr">
        <is>
          <t>الكل مرفوض 409. الزر الوحيد المتاح هو «عكس القيد»</t>
        </is>
      </c>
      <c r="G16" s="13" t="inlineStr">
        <is>
          <t>P1</t>
        </is>
      </c>
      <c r="H16" s="14" t="inlineStr">
        <is>
          <t>أمان</t>
        </is>
      </c>
      <c r="I16" s="13" t="inlineStr">
        <is>
          <t>لم يُختبر</t>
        </is>
      </c>
      <c r="J16" s="14" t="n"/>
      <c r="K16" s="13" t="n"/>
      <c r="L16" s="14" t="n"/>
    </row>
    <row r="17">
      <c r="A17" s="13" t="inlineStr">
        <is>
          <t>TC-E-016</t>
        </is>
      </c>
      <c r="B17" s="14" t="inlineStr">
        <is>
          <t>القيود اليدوية</t>
        </is>
      </c>
      <c r="C17" s="15" t="inlineStr">
        <is>
          <t>قاعدة البيانات نفسها تمنع تعديل القيد المرحّل</t>
        </is>
      </c>
      <c r="D17" s="14" t="inlineStr">
        <is>
          <t>وصول مهندس إلى قاعدة بيانات الاختبار</t>
        </is>
      </c>
      <c r="E17" s="14" t="inlineStr">
        <is>
          <t>1. حاول UPDATE على journal_line لقيد مرحّل
2. حاول DELETE على journal_entry
3. أدخل قيدًا بحالة posted مباشرة
4. رحّل قيدًا غير متوازن مباشرة</t>
        </is>
      </c>
      <c r="F17" s="14" t="inlineStr">
        <is>
          <t>الكل يفشل برسالة الـ trigger (immutable / cannot be deleted / must start as draft / equal debits and credits)</t>
        </is>
      </c>
      <c r="G17" s="13" t="inlineStr">
        <is>
          <t>P1</t>
        </is>
      </c>
      <c r="H17" s="14" t="inlineStr">
        <is>
          <t>أمان</t>
        </is>
      </c>
      <c r="I17" s="13" t="inlineStr">
        <is>
          <t>لم يُختبر</t>
        </is>
      </c>
      <c r="J17" s="14" t="n"/>
      <c r="K17" s="13" t="n"/>
      <c r="L17" s="14" t="n"/>
    </row>
    <row r="18">
      <c r="A18" s="13" t="inlineStr">
        <is>
          <t>TC-E-017</t>
        </is>
      </c>
      <c r="B18" s="14" t="inlineStr">
        <is>
          <t>القيود اليدوية</t>
        </is>
      </c>
      <c r="C18" s="15" t="inlineStr">
        <is>
          <t>عكس القيد: سبب إلزامي، مرة واحدة، ويربط القيدين</t>
        </is>
      </c>
      <c r="D18" s="14" t="inlineStr">
        <is>
          <t>قيد مرحّل</t>
        </is>
      </c>
      <c r="E18" s="14" t="inlineStr">
        <is>
          <t>1. اضغط «عكس» بلا سبب
2. أدخل سببًا واعكس
3. حاول عكسه ثانية وحاول عكس قيد العكس</t>
        </is>
      </c>
      <c r="F18" s="14" t="inlineStr">
        <is>
          <t>الأول 400. الثاني ينشئ قيدًا kind=reversal مرحّلًا بنفس الإجمالي والجهات معكوسة ويظهر الرابط في القيدين. الباقي 409</t>
        </is>
      </c>
      <c r="G18" s="13" t="inlineStr">
        <is>
          <t>P1</t>
        </is>
      </c>
      <c r="H18" s="14" t="inlineStr">
        <is>
          <t>وظيفي</t>
        </is>
      </c>
      <c r="I18" s="13" t="inlineStr">
        <is>
          <t>لم يُختبر</t>
        </is>
      </c>
      <c r="J18" s="14" t="n"/>
      <c r="K18" s="13" t="n"/>
      <c r="L18" s="14" t="n"/>
    </row>
    <row r="19">
      <c r="A19" s="13" t="inlineStr">
        <is>
          <t>TC-E-018</t>
        </is>
      </c>
      <c r="B19" s="14" t="inlineStr">
        <is>
          <t>القيود اليدوية</t>
        </is>
      </c>
      <c r="C19" s="15" t="inlineStr">
        <is>
          <t>تصفية القيود وبحثها</t>
        </is>
      </c>
      <c r="D19" s="14" t="inlineStr">
        <is>
          <t>عدة قيود بحالات وأنواع مختلفة</t>
        </is>
      </c>
      <c r="E19" s="14" t="inlineStr">
        <is>
          <t>1. افتح /accounting/journal
2. صفِّ بالحالة ثم بالنوع (يدوي/تلقائي/عكس) ثم بالفترة ثم بالنص</t>
        </is>
      </c>
      <c r="F19" s="14" t="inlineStr">
        <is>
          <t>تتغير القائمة حسب كل مرشّح ويطابق العدد المعروض النتائج</t>
        </is>
      </c>
      <c r="G19" s="13" t="inlineStr">
        <is>
          <t>P3</t>
        </is>
      </c>
      <c r="H19" s="14" t="inlineStr">
        <is>
          <t>واجهة وعرض</t>
        </is>
      </c>
      <c r="I19" s="13" t="inlineStr">
        <is>
          <t>لم يُختبر</t>
        </is>
      </c>
      <c r="J19" s="14" t="n"/>
      <c r="K19" s="13" t="n"/>
      <c r="L19" s="14" t="n"/>
    </row>
    <row r="20">
      <c r="A20" s="13" t="inlineStr">
        <is>
          <t>TC-E-019</t>
        </is>
      </c>
      <c r="B20" s="14" t="inlineStr">
        <is>
          <t>القيود اليدوية</t>
        </is>
      </c>
      <c r="C20" s="15" t="inlineStr">
        <is>
          <t>ترقيم القيود متسلسل بلا تكرار</t>
        </is>
      </c>
      <c r="D20" s="14" t="inlineStr">
        <is>
          <t>محاسب</t>
        </is>
      </c>
      <c r="E20" s="14" t="inlineStr">
        <is>
          <t>1. أنشئ ثلاثة قيود متتالية
2. احذف مسودة الوسطى وأنشئ آخر</t>
        </is>
      </c>
      <c r="F20" s="14" t="inlineStr">
        <is>
          <t>الأرقام JV-NNNNNN تتزايد ولا يُعاد استخدام رقم محذوف</t>
        </is>
      </c>
      <c r="G20" s="13" t="inlineStr">
        <is>
          <t>P2</t>
        </is>
      </c>
      <c r="H20" s="14" t="inlineStr">
        <is>
          <t>حالات حدّية</t>
        </is>
      </c>
      <c r="I20" s="13" t="inlineStr">
        <is>
          <t>لم يُختبر</t>
        </is>
      </c>
      <c r="J20" s="14" t="n"/>
      <c r="K20" s="13" t="n"/>
      <c r="L20" s="14" t="n"/>
    </row>
    <row r="21">
      <c r="A21" s="13" t="inlineStr">
        <is>
          <t>TC-E-020</t>
        </is>
      </c>
      <c r="B21" s="14" t="inlineStr">
        <is>
          <t>الفترات والإعدادات</t>
        </is>
      </c>
      <c r="C21" s="15" t="inlineStr">
        <is>
          <t>تقفل الفترة: لا ترحيل ولا إنشاء ولا عكس داخلها</t>
        </is>
      </c>
      <c r="D21" s="14" t="inlineStr">
        <is>
          <t>مدير عام؛ مسودة بتاريخ أمس</t>
        </is>
      </c>
      <c r="E21" s="14" t="inlineStr">
        <is>
          <t>1. افتح الإعدادات واقفل الفترة حتى أمس
2. حاول ترحيل المسودة
3. حاول إنشاء قيد بتاريخ داخل الفترة
4. حاول عكس قيد قديم بتاريخ داخل الفترة
5. أنشئ قيدًا بتاريخ اليوم</t>
        </is>
      </c>
      <c r="F21" s="14" t="inlineStr">
        <is>
          <t>الثلاثة الأولى مرفوضة 400 والأخير ينجح. يعرض الإقفال عدد المسودات داخل الفترة</t>
        </is>
      </c>
      <c r="G21" s="13" t="inlineStr">
        <is>
          <t>P1</t>
        </is>
      </c>
      <c r="H21" s="14" t="inlineStr">
        <is>
          <t>وظيفي</t>
        </is>
      </c>
      <c r="I21" s="13" t="inlineStr">
        <is>
          <t>لم يُختبر</t>
        </is>
      </c>
      <c r="J21" s="14" t="n"/>
      <c r="K21" s="13" t="n"/>
      <c r="L21" s="14" t="n"/>
    </row>
    <row r="22">
      <c r="A22" s="13" t="inlineStr">
        <is>
          <t>TC-E-021</t>
        </is>
      </c>
      <c r="B22" s="14" t="inlineStr">
        <is>
          <t>الفترات والإعدادات</t>
        </is>
      </c>
      <c r="C22" s="15" t="inlineStr">
        <is>
          <t>من يقفل الفترة ومن يفتحها</t>
        </is>
      </c>
      <c r="D22" s="14" t="inlineStr">
        <is>
          <t>محاسب ومدير عام ومالك</t>
        </is>
      </c>
      <c r="E22" s="14" t="inlineStr">
        <is>
          <t>1. المحاسب يحاول القفل
2. المدير يقفل حتى تاريخ مستقبلي ثم حتى أمس
3. المدير يحاول الفتح
4. المالك يفتح بسبب</t>
        </is>
      </c>
      <c r="F22" s="14" t="inlineStr">
        <is>
          <t>المحاسب 403. المستقبلي 400. المدير يقفل أمس بنجاح. الفتح للمالك فقط مع سبب إلزامي ويُسجَّل في سجل التدقيق</t>
        </is>
      </c>
      <c r="G22" s="13" t="inlineStr">
        <is>
          <t>P1</t>
        </is>
      </c>
      <c r="H22" s="14" t="inlineStr">
        <is>
          <t>صلاحيات</t>
        </is>
      </c>
      <c r="I22" s="13" t="inlineStr">
        <is>
          <t>لم يُختبر</t>
        </is>
      </c>
      <c r="J22" s="14" t="n"/>
      <c r="K22" s="13" t="n"/>
      <c r="L22" s="14" t="n"/>
    </row>
    <row r="23">
      <c r="A23" s="13" t="inlineStr">
        <is>
          <t>TC-E-022</t>
        </is>
      </c>
      <c r="B23" s="14" t="inlineStr">
        <is>
          <t>الفترات والإعدادات</t>
        </is>
      </c>
      <c r="C23" s="15" t="inlineStr">
        <is>
          <t>تقويم السنة المالية لا يتغير بعد وجود قيود مرحّلة</t>
        </is>
      </c>
      <c r="D23" s="14" t="inlineStr">
        <is>
          <t>قيود مرحّلة موجودة</t>
        </is>
      </c>
      <c r="E23" s="14" t="inlineStr">
        <is>
          <t>1. افتح إعدادات الحسابات وغيّر شهر بداية السنة المالية</t>
        </is>
      </c>
      <c r="F23" s="14" t="inlineStr">
        <is>
          <t>المحاسب 403 والمالك 409 (توجد قيود مرحّلة). تغيير سياسة WIP أو نسبة GOSI لصاحب العمل مسموح</t>
        </is>
      </c>
      <c r="G23" s="13" t="inlineStr">
        <is>
          <t>P2</t>
        </is>
      </c>
      <c r="H23" s="14" t="inlineStr">
        <is>
          <t>حالات حدّية</t>
        </is>
      </c>
      <c r="I23" s="13" t="inlineStr">
        <is>
          <t>لم يُختبر</t>
        </is>
      </c>
      <c r="J23" s="14" t="n"/>
      <c r="K23" s="13" t="n"/>
      <c r="L23" s="14" t="n"/>
    </row>
    <row r="24">
      <c r="A24" s="13" t="inlineStr">
        <is>
          <t>TC-E-023</t>
        </is>
      </c>
      <c r="B24" s="14" t="inlineStr">
        <is>
          <t>الفترات والإعدادات</t>
        </is>
      </c>
      <c r="C24" s="15" t="inlineStr">
        <is>
          <t>أسماء حسابات الطرق (نقد، مدى، تحويل…) تأتي من الإعدادات</t>
        </is>
      </c>
      <c r="D24" s="14" t="inlineStr">
        <is>
          <t>إعدادات افتراضية</t>
        </is>
      </c>
      <c r="E24" s="14" t="inlineStr">
        <is>
          <t>1. افتح الإعدادات وراجع حساب كل طريقة دفع
2. اجعل الحساب البنكي الافتراضي مجموعة</t>
        </is>
      </c>
      <c r="F24" s="14" t="inlineStr">
        <is>
          <t>نقد=1101 ومدى=1104 افتراضيًا، واختيار مجموعة كحساب افتراضي مرفوض 400</t>
        </is>
      </c>
      <c r="G24" s="13" t="inlineStr">
        <is>
          <t>P2</t>
        </is>
      </c>
      <c r="H24" s="14" t="inlineStr">
        <is>
          <t>تحقق من المدخلات</t>
        </is>
      </c>
      <c r="I24" s="13" t="inlineStr">
        <is>
          <t>لم يُختبر</t>
        </is>
      </c>
      <c r="J24" s="14" t="n"/>
      <c r="K24" s="13" t="n"/>
      <c r="L24" s="14" t="n"/>
    </row>
    <row r="25">
      <c r="A25" s="13" t="inlineStr">
        <is>
          <t>TC-E-024</t>
        </is>
      </c>
      <c r="B25" s="14" t="inlineStr">
        <is>
          <t>الفترات والإعدادات</t>
        </is>
      </c>
      <c r="C25" s="15" t="inlineStr">
        <is>
          <t>سجل التدقيق يحفظ إجراءات الدفتر</t>
        </is>
      </c>
      <c r="D25" s="14" t="inlineStr">
        <is>
          <t>مالك</t>
        </is>
      </c>
      <c r="E25" s="14" t="inlineStr">
        <is>
          <t>1. رحّل قيدًا واعكسه واقفل فترة
2. افتح سجل التدقيق</t>
        </is>
      </c>
      <c r="F25" s="14" t="inlineStr">
        <is>
          <t>تظهر journal_entry:post و reverse وقفل الفترة بمن نفّذها ومتى (سلسلة هاش لا تُعدَّل)</t>
        </is>
      </c>
      <c r="G25" s="13" t="inlineStr">
        <is>
          <t>P2</t>
        </is>
      </c>
      <c r="H25" s="14" t="inlineStr">
        <is>
          <t>أمان</t>
        </is>
      </c>
      <c r="I25" s="13" t="inlineStr">
        <is>
          <t>لم يُختبر</t>
        </is>
      </c>
      <c r="J25" s="14" t="n"/>
      <c r="K25" s="13" t="n"/>
      <c r="L25" s="14" t="n"/>
    </row>
    <row r="26">
      <c r="A26" s="13" t="inlineStr">
        <is>
          <t>TC-E-025</t>
        </is>
      </c>
      <c r="B26" s="14" t="inlineStr">
        <is>
          <t>التقارير المالية</t>
        </is>
      </c>
      <c r="C26" s="15" t="inlineStr">
        <is>
          <t>ميزان المراجعة متوازن وبه مجاميع المجموعات</t>
        </is>
      </c>
      <c r="D26" s="14" t="inlineStr">
        <is>
          <t>عدة قيود مرحّلة</t>
        </is>
      </c>
      <c r="E26" s="14" t="inlineStr">
        <is>
          <t>1. افتح /accounting/reports تبويب ميزان المراجعة
2. غيّر المستوى وفعّل «إخفاء الأصفار»</t>
        </is>
      </c>
      <c r="F26" s="14" t="inlineStr">
        <is>
          <t>إجمالي المدين = الدائن، والمجموعات تجمع أبناءها، والتصفية لا تغيّر الإجماليات</t>
        </is>
      </c>
      <c r="G26" s="13" t="inlineStr">
        <is>
          <t>P1</t>
        </is>
      </c>
      <c r="H26" s="14" t="inlineStr">
        <is>
          <t>وظيفي</t>
        </is>
      </c>
      <c r="I26" s="13" t="inlineStr">
        <is>
          <t>لم يُختبر</t>
        </is>
      </c>
      <c r="J26" s="14" t="n"/>
      <c r="K26" s="13" t="n"/>
      <c r="L26" s="14" t="n"/>
    </row>
    <row r="27">
      <c r="A27" s="13" t="inlineStr">
        <is>
          <t>TC-E-026</t>
        </is>
      </c>
      <c r="B27" s="14" t="inlineStr">
        <is>
          <t>التقارير المالية</t>
        </is>
      </c>
      <c r="C27" s="15" t="inlineStr">
        <is>
          <t>كشف حساب برصيد متحرك ويُصفّى بالعميل</t>
        </is>
      </c>
      <c r="D27" s="14" t="inlineStr">
        <is>
          <t>حساب العملاء عليه حركات لعميلين</t>
        </is>
      </c>
      <c r="E27" s="14" t="inlineStr">
        <is>
          <t>1. افتح كشف الحساب لـ 1110
2. صفِّ بعميل واحد</t>
        </is>
      </c>
      <c r="F27" s="14" t="inlineStr">
        <is>
          <t>الرصيد الجاري يتراكم سطرًا بسطر والرصيد الختامي = مجموع الحركات، وبعد التصفية يخص العميل وحده</t>
        </is>
      </c>
      <c r="G27" s="13" t="inlineStr">
        <is>
          <t>P1</t>
        </is>
      </c>
      <c r="H27" s="14" t="inlineStr">
        <is>
          <t>وظيفي</t>
        </is>
      </c>
      <c r="I27" s="13" t="inlineStr">
        <is>
          <t>لم يُختبر</t>
        </is>
      </c>
      <c r="J27" s="14" t="n"/>
      <c r="K27" s="13" t="n"/>
      <c r="L27" s="14" t="n"/>
    </row>
    <row r="28">
      <c r="A28" s="13" t="inlineStr">
        <is>
          <t>TC-E-027</t>
        </is>
      </c>
      <c r="B28" s="14" t="inlineStr">
        <is>
          <t>التقارير المالية</t>
        </is>
      </c>
      <c r="C28" s="15" t="inlineStr">
        <is>
          <t>قائمة الدخل والميزانية متفقتان على الربح</t>
        </is>
      </c>
      <c r="D28" s="14" t="inlineStr">
        <is>
          <t>إيرادات ومصروفات في السنة</t>
        </is>
      </c>
      <c r="E28" s="14" t="inlineStr">
        <is>
          <t>1. افتح قائمة الدخل للسنة
2. افتح الميزانية في آخر السنة</t>
        </is>
      </c>
      <c r="F28" s="14" t="inlineStr">
        <is>
          <t>صافي الربح في قائمة الدخل = ربح السنة في حقوق الملكية بالميزانية، والميزانية متوازنة (الأصول = الخصوم + حقوق الملكية)</t>
        </is>
      </c>
      <c r="G28" s="13" t="inlineStr">
        <is>
          <t>P1</t>
        </is>
      </c>
      <c r="H28" s="14" t="inlineStr">
        <is>
          <t>وظيفي</t>
        </is>
      </c>
      <c r="I28" s="13" t="inlineStr">
        <is>
          <t>لم يُختبر</t>
        </is>
      </c>
      <c r="J28" s="14" t="n"/>
      <c r="K28" s="13" t="n"/>
      <c r="L28" s="14" t="n"/>
    </row>
    <row r="29">
      <c r="A29" s="13" t="inlineStr">
        <is>
          <t>TC-E-028</t>
        </is>
      </c>
      <c r="B29" s="14" t="inlineStr">
        <is>
          <t>التقارير المالية</t>
        </is>
      </c>
      <c r="C29" s="15" t="inlineStr">
        <is>
          <t>دفتر اليومية يعرض القيود بسطورها</t>
        </is>
      </c>
      <c r="D29" s="14" t="inlineStr">
        <is>
          <t>قيود في الفترة</t>
        </is>
      </c>
      <c r="E29" s="14" t="inlineStr">
        <is>
          <t>1. افتح تبويب دفتر اليومية وحدّد فترة</t>
        </is>
      </c>
      <c r="F29" s="14" t="inlineStr">
        <is>
          <t>كل قيد بسطوره ومجموعه وبترتيب التاريخ والرقم</t>
        </is>
      </c>
      <c r="G29" s="13" t="inlineStr">
        <is>
          <t>P2</t>
        </is>
      </c>
      <c r="H29" s="14" t="inlineStr">
        <is>
          <t>واجهة وعرض</t>
        </is>
      </c>
      <c r="I29" s="13" t="inlineStr">
        <is>
          <t>لم يُختبر</t>
        </is>
      </c>
      <c r="J29" s="14" t="n"/>
      <c r="K29" s="13" t="n"/>
      <c r="L29" s="14" t="n"/>
    </row>
    <row r="30">
      <c r="A30" s="13" t="inlineStr">
        <is>
          <t>TC-E-029</t>
        </is>
      </c>
      <c r="B30" s="14" t="inlineStr">
        <is>
          <t>التقارير المالية</t>
        </is>
      </c>
      <c r="C30" s="15" t="inlineStr">
        <is>
          <t>تصدير كل تقرير إلى Excel وPDF</t>
        </is>
      </c>
      <c r="D30" s="14" t="inlineStr">
        <is>
          <t>خدمة Gotenberg تعمل لـ PDF</t>
        </is>
      </c>
      <c r="E30" s="14" t="inlineStr">
        <is>
          <t>1. من كل تبويب اضغط Excel ثم PDF
2. افتح الملفين</t>
        </is>
      </c>
      <c r="F30" s="14" t="inlineStr">
        <is>
          <t>Excel بورقة RTL ورأس مجمّد وأرقام تُقرأ كأرقام. PDF عربي من اليمين لليسار. القيم مطابقة للشاشة</t>
        </is>
      </c>
      <c r="G30" s="13" t="inlineStr">
        <is>
          <t>P2</t>
        </is>
      </c>
      <c r="H30" s="14" t="inlineStr">
        <is>
          <t>واجهة وعرض</t>
        </is>
      </c>
      <c r="I30" s="13" t="inlineStr">
        <is>
          <t>لم يُختبر</t>
        </is>
      </c>
      <c r="J30" s="14" t="n"/>
      <c r="K30" s="13" t="n"/>
      <c r="L30" s="14" t="n"/>
    </row>
    <row r="31">
      <c r="A31" s="13" t="inlineStr">
        <is>
          <t>TC-E-030</t>
        </is>
      </c>
      <c r="B31" s="14" t="inlineStr">
        <is>
          <t>التقارير المالية</t>
        </is>
      </c>
      <c r="C31" s="15" t="inlineStr">
        <is>
          <t>لوحة الحسابات تعرض النقد والذمم والربح وفحوص السلامة</t>
        </is>
      </c>
      <c r="D31" s="14" t="inlineStr">
        <is>
          <t>قيود مرحّلة</t>
        </is>
      </c>
      <c r="E31" s="14" t="inlineStr">
        <is>
          <t>1. افتح /accounting</t>
        </is>
      </c>
      <c r="F31" s="14" t="inlineStr">
        <is>
          <t>بطاقات النقد والذمم المدينة والدائنة وربح الفترة، وقائمة فحوص التسوية (ميزان المراجعة، الانتظار، ضريبة…) بحالة سليمة/تحتاج مراجعة</t>
        </is>
      </c>
      <c r="G31" s="13" t="inlineStr">
        <is>
          <t>P2</t>
        </is>
      </c>
      <c r="H31" s="14" t="inlineStr">
        <is>
          <t>واجهة وعرض</t>
        </is>
      </c>
      <c r="I31" s="13" t="inlineStr">
        <is>
          <t>لم يُختبر</t>
        </is>
      </c>
      <c r="J31" s="14" t="n"/>
      <c r="K31" s="13" t="n"/>
      <c r="L31" s="14" t="n"/>
    </row>
    <row r="32">
      <c r="A32" s="13" t="inlineStr">
        <is>
          <t>TC-E-031</t>
        </is>
      </c>
      <c r="B32" s="14" t="inlineStr">
        <is>
          <t>الترحيل التلقائي</t>
        </is>
      </c>
      <c r="C32" s="15" t="inlineStr">
        <is>
          <t>لا يُرحَّل أي مستند مؤرخ قبل تاريخ بدء التشغيل</t>
        </is>
      </c>
      <c r="D32" s="14" t="inlineStr">
        <is>
          <t>تاريخ البدء محدد؛ فاتورة قديمة قبله</t>
        </is>
      </c>
      <c r="E32" s="14" t="inlineStr">
        <is>
          <t>1. شغّل «ترحيل الآن» من /accounting/exceptions أو انتظر المهمة</t>
        </is>
      </c>
      <c r="F32" s="14" t="inlineStr">
        <is>
          <t>المستند القديم يُتخطّى ولا يظهر كخطأ ولا يغيّر أي رصيد</t>
        </is>
      </c>
      <c r="G32" s="13" t="inlineStr">
        <is>
          <t>P1</t>
        </is>
      </c>
      <c r="H32" s="14" t="inlineStr">
        <is>
          <t>حالات حدّية</t>
        </is>
      </c>
      <c r="I32" s="13" t="inlineStr">
        <is>
          <t>لم يُختبر</t>
        </is>
      </c>
      <c r="J32" s="14" t="n"/>
      <c r="K32" s="13" t="n"/>
      <c r="L32" s="14" t="n"/>
    </row>
    <row r="33">
      <c r="A33" s="13" t="inlineStr">
        <is>
          <t>TC-E-032</t>
        </is>
      </c>
      <c r="B33" s="14" t="inlineStr">
        <is>
          <t>الترحيل التلقائي</t>
        </is>
      </c>
      <c r="C33" s="15" t="inlineStr">
        <is>
          <t>عقد بضريبة: 386 ثم 386 ثم 388 تُرحَّل كلها وتصفّر العميل</t>
        </is>
      </c>
      <c r="D33" s="14" t="inlineStr">
        <is>
          <t>عقد 11,500 بضريبة 15% بدفعتين مقدمتين وفاتورة نهائية</t>
        </is>
      </c>
      <c r="E33" s="14" t="inlineStr">
        <is>
          <t>1. وقّع العقد واطلب الدفعة الأولى والثانية واستلمهما
2. اطلب الدفعة الأخيرة
3. افتح كشف 1110 و2102 للعميل</t>
        </is>
      </c>
      <c r="F33" s="14" t="inlineStr">
        <is>
          <t>386: مدين العملاء 5,750 دائن دفعات مقدمة 5,000 وضريبة مخرجات 750 بكود S. 388: إيراد 10,000 ودفعات مقدمة تُقفَل في القيد نفسه وضريبة 150 المتبقية. يصفّر رصيد العميل في 1110 و2102</t>
        </is>
      </c>
      <c r="G33" s="13" t="inlineStr">
        <is>
          <t>P1</t>
        </is>
      </c>
      <c r="H33" s="14" t="inlineStr">
        <is>
          <t>تكامل</t>
        </is>
      </c>
      <c r="I33" s="13" t="inlineStr">
        <is>
          <t>لم يُختبر</t>
        </is>
      </c>
      <c r="J33" s="14" t="n"/>
      <c r="K33" s="13" t="n"/>
      <c r="L33" s="14" t="n"/>
    </row>
    <row r="34">
      <c r="A34" s="13" t="inlineStr">
        <is>
          <t>TC-E-033</t>
        </is>
      </c>
      <c r="B34" s="14" t="inlineStr">
        <is>
          <t>الترحيل التلقائي</t>
        </is>
      </c>
      <c r="C34" s="15" t="inlineStr">
        <is>
          <t>دفعات العملاء تُرحَّل على حساب الطريقة</t>
        </is>
      </c>
      <c r="D34" s="14" t="inlineStr">
        <is>
          <t>دفعات بطرق: نقد، مدى، تحويل</t>
        </is>
      </c>
      <c r="E34" s="14" t="inlineStr">
        <is>
          <t>1. سجّل دفعة بكل طريقة
2. افتح قيود الدفعات</t>
        </is>
      </c>
      <c r="F34" s="14" t="inlineStr">
        <is>
          <t>مدين حساب الطريقة (1101 نقد، 1104 مدى، 1103 بنك) ودائن العملاء 1110 بجهة العميل</t>
        </is>
      </c>
      <c r="G34" s="13" t="inlineStr">
        <is>
          <t>P1</t>
        </is>
      </c>
      <c r="H34" s="14" t="inlineStr">
        <is>
          <t>تكامل</t>
        </is>
      </c>
      <c r="I34" s="13" t="inlineStr">
        <is>
          <t>لم يُختبر</t>
        </is>
      </c>
      <c r="J34" s="14" t="n"/>
      <c r="K34" s="13" t="n"/>
      <c r="L34" s="14" t="n"/>
    </row>
    <row r="35">
      <c r="A35" s="13" t="inlineStr">
        <is>
          <t>TC-E-034</t>
        </is>
      </c>
      <c r="B35" s="14" t="inlineStr">
        <is>
          <t>الترحيل التلقائي</t>
        </is>
      </c>
      <c r="C35" s="15" t="inlineStr">
        <is>
          <t>تشغيل المحرك مرة ثانية لا يُنشئ شيئًا</t>
        </is>
      </c>
      <c r="D35" s="14" t="inlineStr">
        <is>
          <t>مستندات مرحّلة</t>
        </is>
      </c>
      <c r="E35" s="14" t="inlineStr">
        <is>
          <t>1. اضغط «ترحيل الآن» مرتين متتاليتين
2. قارن عدد القيود</t>
        </is>
      </c>
      <c r="F35" s="14" t="inlineStr">
        <is>
          <t>العدد ثابت (تُرحَّل كل مصدر مرة واحدة)، ولا تظهر أخطاء مكررة</t>
        </is>
      </c>
      <c r="G35" s="13" t="inlineStr">
        <is>
          <t>P1</t>
        </is>
      </c>
      <c r="H35" s="14" t="inlineStr">
        <is>
          <t>حالات حدّية</t>
        </is>
      </c>
      <c r="I35" s="13" t="inlineStr">
        <is>
          <t>لم يُختبر</t>
        </is>
      </c>
      <c r="J35" s="14" t="n"/>
      <c r="K35" s="13" t="n"/>
      <c r="L35" s="14" t="n"/>
    </row>
    <row r="36">
      <c r="A36" s="13" t="inlineStr">
        <is>
          <t>TC-E-035</t>
        </is>
      </c>
      <c r="B36" s="14" t="inlineStr">
        <is>
          <t>الترحيل التلقائي</t>
        </is>
      </c>
      <c r="C36" s="15" t="inlineStr">
        <is>
          <t>إشعار دائن 381 يُرحَّل عكس البيع</t>
        </is>
      </c>
      <c r="D36" s="14" t="inlineStr">
        <is>
          <t>فاتورة مرحّلة وإشعار دائن عليها بسبب</t>
        </is>
      </c>
      <c r="E36" s="14" t="inlineStr">
        <is>
          <t>1. أصدر إشعارًا دائنًا من صفحة الفاتورة
2. افتح قيده</t>
        </is>
      </c>
      <c r="F36" s="14" t="inlineStr">
        <is>
          <t>قيد تلقائي يعكس الإيراد والضريبة والعملاء بالمبالغ الموجبة نفسها، ومرتبط بالفاتورة الأصلية</t>
        </is>
      </c>
      <c r="G36" s="13" t="inlineStr">
        <is>
          <t>P1</t>
        </is>
      </c>
      <c r="H36" s="14" t="inlineStr">
        <is>
          <t>وظيفي</t>
        </is>
      </c>
      <c r="I36" s="13" t="inlineStr">
        <is>
          <t>لم يُختبر</t>
        </is>
      </c>
      <c r="J36" s="14" t="n"/>
      <c r="K36" s="13" t="n"/>
      <c r="L36" s="14" t="n"/>
    </row>
    <row r="37">
      <c r="A37" s="13" t="inlineStr">
        <is>
          <t>TC-E-036</t>
        </is>
      </c>
      <c r="B37" s="14" t="inlineStr">
        <is>
          <t>الترحيل التلقائي</t>
        </is>
      </c>
      <c r="C37" s="15" t="inlineStr">
        <is>
          <t>إلغاء فاتورة في النظام الخلفي يعكسها مرة واحدة</t>
        </is>
      </c>
      <c r="D37" s="14" t="inlineStr">
        <is>
          <t>فاتورة مرحّلة</t>
        </is>
      </c>
      <c r="E37" s="14" t="inlineStr">
        <is>
          <t>1. ألغِ الفاتورة (حالة cancelled)
2. شغّل الترحيل مرتين</t>
        </is>
      </c>
      <c r="F37" s="14" t="inlineStr">
        <is>
          <t>قيد عكس واحد فقط مرتبط بالأصل (source_event يبدأ بـ cancel:) وصافي الإيراد صفر</t>
        </is>
      </c>
      <c r="G37" s="13" t="inlineStr">
        <is>
          <t>P1</t>
        </is>
      </c>
      <c r="H37" s="14" t="inlineStr">
        <is>
          <t>حالات حدّية</t>
        </is>
      </c>
      <c r="I37" s="13" t="inlineStr">
        <is>
          <t>لم يُختبر</t>
        </is>
      </c>
      <c r="J37" s="14" t="n"/>
      <c r="K37" s="13" t="n"/>
      <c r="L37" s="14" t="n"/>
    </row>
    <row r="38">
      <c r="A38" s="13" t="inlineStr">
        <is>
          <t>TC-E-037</t>
        </is>
      </c>
      <c r="B38" s="14" t="inlineStr">
        <is>
          <t>الترحيل التلقائي</t>
        </is>
      </c>
      <c r="C38" s="15" t="inlineStr">
        <is>
          <t>تغيّر مبلغ فاتورة بعد ترحيلها يُعلَّم ولا يُعاد ترحيله</t>
        </is>
      </c>
      <c r="D38" s="14" t="inlineStr">
        <is>
          <t>فاتورة مرحّلة؛ تعديل مبلغها مباشرة</t>
        </is>
      </c>
      <c r="E38" s="14" t="inlineStr">
        <is>
          <t>1. شغّل الترحيل
2. افتح بنود «تغيّر بعد الترحيل» في شاشة الانتظار</t>
        </is>
      </c>
      <c r="F38" s="14" t="inlineStr">
        <is>
          <t>تظهر الفاتورة في القائمة ويبقى قيدها الأصلي وحده؛ التصحيح يتم بعكس وإعادة إصدار</t>
        </is>
      </c>
      <c r="G38" s="13" t="inlineStr">
        <is>
          <t>P1</t>
        </is>
      </c>
      <c r="H38" s="14" t="inlineStr">
        <is>
          <t>حالات حدّية</t>
        </is>
      </c>
      <c r="I38" s="13" t="inlineStr">
        <is>
          <t>لم يُختبر</t>
        </is>
      </c>
      <c r="J38" s="14" t="n"/>
      <c r="K38" s="13" t="n"/>
      <c r="L38" s="14" t="n"/>
    </row>
    <row r="39">
      <c r="A39" s="13" t="inlineStr">
        <is>
          <t>TC-E-038</t>
        </is>
      </c>
      <c r="B39" s="14" t="inlineStr">
        <is>
          <t>الترحيل التلقائي</t>
        </is>
      </c>
      <c r="C39" s="15" t="inlineStr">
        <is>
          <t>سند صرف معتمد يُرحَّل على الحساب المقابل مقابل الصندوق</t>
        </is>
      </c>
      <c r="D39" s="14" t="inlineStr">
        <is>
          <t>سند صرف بحساب 6207 وتكلفة مركز</t>
        </is>
      </c>
      <c r="E39" s="14" t="inlineStr">
        <is>
          <t>1. أنشئ السند واعتمده بشخص آخر
2. افتح القيد</t>
        </is>
      </c>
      <c r="F39" s="14" t="inlineStr">
        <is>
          <t>مسودة السند لا تُرحَّل. بعد الاعتماد: مدين 6207 دائن 1101 ويحمل مركز التكلفة/المشروع</t>
        </is>
      </c>
      <c r="G39" s="13" t="inlineStr">
        <is>
          <t>P1</t>
        </is>
      </c>
      <c r="H39" s="14" t="inlineStr">
        <is>
          <t>تكامل</t>
        </is>
      </c>
      <c r="I39" s="13" t="inlineStr">
        <is>
          <t>لم يُختبر</t>
        </is>
      </c>
      <c r="J39" s="14" t="n"/>
      <c r="K39" s="13" t="n"/>
      <c r="L39" s="14" t="n"/>
    </row>
    <row r="40">
      <c r="A40" s="13" t="inlineStr">
        <is>
          <t>TC-E-039</t>
        </is>
      </c>
      <c r="B40" s="14" t="inlineStr">
        <is>
          <t>الترحيل التلقائي</t>
        </is>
      </c>
      <c r="C40" s="15" t="inlineStr">
        <is>
          <t>حساب مقابل يتطلب طرفًا بلا طرف، أو حساب مجموعة، يُرفض</t>
        </is>
      </c>
      <c r="D40" s="14" t="inlineStr">
        <is>
          <t>محاسب</t>
        </is>
      </c>
      <c r="E40" s="14" t="inlineStr">
        <is>
          <t>1. أنشئ سند صرف بحساب 1110 دون عميل
2. أنشئ آخر بحساب مجموعة</t>
        </is>
      </c>
      <c r="F40" s="14" t="inlineStr">
        <is>
          <t>رفض 400 في الحالتين</t>
        </is>
      </c>
      <c r="G40" s="13" t="inlineStr">
        <is>
          <t>P2</t>
        </is>
      </c>
      <c r="H40" s="14" t="inlineStr">
        <is>
          <t>تحقق من المدخلات</t>
        </is>
      </c>
      <c r="I40" s="13" t="inlineStr">
        <is>
          <t>لم يُختبر</t>
        </is>
      </c>
      <c r="J40" s="14" t="n"/>
      <c r="K40" s="13" t="n"/>
      <c r="L40" s="14" t="n"/>
    </row>
    <row r="41">
      <c r="A41" s="13" t="inlineStr">
        <is>
          <t>TC-E-040</t>
        </is>
      </c>
      <c r="B41" s="14" t="inlineStr">
        <is>
          <t>الترحيل التلقائي</t>
        </is>
      </c>
      <c r="C41" s="15" t="inlineStr">
        <is>
          <t>إلغاء سند معتمد يعكس قيده مرة واحدة</t>
        </is>
      </c>
      <c r="D41" s="14" t="inlineStr">
        <is>
          <t>سند معتمد مرحّل</t>
        </is>
      </c>
      <c r="E41" s="14" t="inlineStr">
        <is>
          <t>1. ألغِ السند بسبب
2. شغّل الترحيل</t>
        </is>
      </c>
      <c r="F41" s="14" t="inlineStr">
        <is>
          <t>قيدان فقط: أصلي وعكس، وصافي المصروف صفر</t>
        </is>
      </c>
      <c r="G41" s="13" t="inlineStr">
        <is>
          <t>P1</t>
        </is>
      </c>
      <c r="H41" s="14" t="inlineStr">
        <is>
          <t>حالات حدّية</t>
        </is>
      </c>
      <c r="I41" s="13" t="inlineStr">
        <is>
          <t>لم يُختبر</t>
        </is>
      </c>
      <c r="J41" s="14" t="n"/>
      <c r="K41" s="13" t="n"/>
      <c r="L41" s="14" t="n"/>
    </row>
    <row r="42">
      <c r="A42" s="13" t="inlineStr">
        <is>
          <t>TC-E-041</t>
        </is>
      </c>
      <c r="B42" s="14" t="inlineStr">
        <is>
          <t>الترحيل التلقائي</t>
        </is>
      </c>
      <c r="C42" s="15" t="inlineStr">
        <is>
          <t>سند قبض من عميل يخفض رصيد ذمته</t>
        </is>
      </c>
      <c r="D42" s="14" t="inlineStr">
        <is>
          <t>عميل رصيده 1110 موجب</t>
        </is>
      </c>
      <c r="E42" s="14" t="inlineStr">
        <is>
          <t>1. أنشئ سند قبض 500 تحويل واعتمده
2. افتح كشف العميل</t>
        </is>
      </c>
      <c r="F42" s="14" t="inlineStr">
        <is>
          <t>مدين 1103 البنك 500 ودائن 1110 للعميل 500؛ يقل رصيده 500</t>
        </is>
      </c>
      <c r="G42" s="13" t="inlineStr">
        <is>
          <t>P1</t>
        </is>
      </c>
      <c r="H42" s="14" t="inlineStr">
        <is>
          <t>تكامل</t>
        </is>
      </c>
      <c r="I42" s="13" t="inlineStr">
        <is>
          <t>لم يُختبر</t>
        </is>
      </c>
      <c r="J42" s="14" t="n"/>
      <c r="K42" s="13" t="n"/>
      <c r="L42" s="14" t="n"/>
    </row>
    <row r="43">
      <c r="A43" s="13" t="inlineStr">
        <is>
          <t>TC-E-042</t>
        </is>
      </c>
      <c r="B43" s="14" t="inlineStr">
        <is>
          <t>الترحيل التلقائي</t>
        </is>
      </c>
      <c r="C43" s="15" t="inlineStr">
        <is>
          <t>سند غير مصنّف يذهب إلى حساب الانتظار 9101 ويظهر في الاستثناءات</t>
        </is>
      </c>
      <c r="D43" s="14" t="inlineStr">
        <is>
          <t>سند صرف بلا حساب مقابل</t>
        </is>
      </c>
      <c r="E43" s="14" t="inlineStr">
        <is>
          <t>1. اعتمد السند
2. افتح /accounting/exceptions
3. افتح فحوص التسوية</t>
        </is>
      </c>
      <c r="F43" s="14" t="inlineStr">
        <is>
          <t>السطر على 9101 ويظهر بالمبلغ والجهة وزر «إعادة تصنيف». فحص «الانتظار» غير سليم وفحص ميزان المراجعة سليم</t>
        </is>
      </c>
      <c r="G43" s="13" t="inlineStr">
        <is>
          <t>P1</t>
        </is>
      </c>
      <c r="H43" s="14" t="inlineStr">
        <is>
          <t>وظيفي</t>
        </is>
      </c>
      <c r="I43" s="13" t="inlineStr">
        <is>
          <t>لم يُختبر</t>
        </is>
      </c>
      <c r="J43" s="14" t="n"/>
      <c r="K43" s="13" t="n"/>
      <c r="L43" s="14" t="n"/>
    </row>
    <row r="44">
      <c r="A44" s="13" t="inlineStr">
        <is>
          <t>TC-E-043</t>
        </is>
      </c>
      <c r="B44" s="14" t="inlineStr">
        <is>
          <t>الترحيل التلقائي</t>
        </is>
      </c>
      <c r="C44" s="15" t="inlineStr">
        <is>
          <t>إعادة التصنيف تعكس القيد وتُنشئ آخر ويربط بينهما</t>
        </is>
      </c>
      <c r="D44" s="14" t="inlineStr">
        <is>
          <t>بند في 9101</t>
        </is>
      </c>
      <c r="E44" s="14" t="inlineStr">
        <is>
          <t>1. اختر 6207 كحساب صحيح واضغط «تصنيف»
2. كرّر العملية على البند نفسه</t>
        </is>
      </c>
      <c r="F44" s="14" t="inlineStr">
        <is>
          <t>يُنشأ عكس وقيد جديد على 6207 ويختفي البند من الانتظار. التكرار 409. الإلغاء لاحقًا يعكس القيد الحيّ مرة واحدة</t>
        </is>
      </c>
      <c r="G44" s="13" t="inlineStr">
        <is>
          <t>P1</t>
        </is>
      </c>
      <c r="H44" s="14" t="inlineStr">
        <is>
          <t>وظيفي</t>
        </is>
      </c>
      <c r="I44" s="13" t="inlineStr">
        <is>
          <t>لم يُختبر</t>
        </is>
      </c>
      <c r="J44" s="14" t="n"/>
      <c r="K44" s="13" t="n"/>
      <c r="L44" s="14" t="n"/>
    </row>
    <row r="45">
      <c r="A45" s="13" t="inlineStr">
        <is>
          <t>TC-E-044</t>
        </is>
      </c>
      <c r="B45" s="14" t="inlineStr">
        <is>
          <t>الترحيل التلقائي</t>
        </is>
      </c>
      <c r="C45" s="15" t="inlineStr">
        <is>
          <t>مستند بتاريخ داخل فترة مقفلة يُرحَّل في أول يوم مفتوح</t>
        </is>
      </c>
      <c r="D45" s="14" t="inlineStr">
        <is>
          <t>فترة مقفلة حتى أمس ومستند بتاريخ سابق</t>
        </is>
      </c>
      <c r="E45" s="14" t="inlineStr">
        <is>
          <t>1. شغّل الترحيل</t>
        </is>
      </c>
      <c r="F45" s="14" t="inlineStr">
        <is>
          <t>يُرحَّل بتاريخ أول يوم مفتوح مع ملاحظة بالتاريخ الأصلي؛ لا يخرج رصيد الفترة المقفلة عن توازنه</t>
        </is>
      </c>
      <c r="G45" s="13" t="inlineStr">
        <is>
          <t>P1</t>
        </is>
      </c>
      <c r="H45" s="14" t="inlineStr">
        <is>
          <t>حالات حدّية</t>
        </is>
      </c>
      <c r="I45" s="13" t="inlineStr">
        <is>
          <t>لم يُختبر</t>
        </is>
      </c>
      <c r="J45" s="14" t="n"/>
      <c r="K45" s="13" t="n"/>
      <c r="L45" s="14" t="n"/>
    </row>
    <row r="46">
      <c r="A46" s="13" t="inlineStr">
        <is>
          <t>TC-E-045</t>
        </is>
      </c>
      <c r="B46" s="14" t="inlineStr">
        <is>
          <t>الترحيل التلقائي</t>
        </is>
      </c>
      <c r="C46" s="15" t="inlineStr">
        <is>
          <t>استلام بضاعة يُرحَّل مخزونًا مقابل GRNI</t>
        </is>
      </c>
      <c r="D46" s="14" t="inlineStr">
        <is>
          <t>أمر شراء ومستلم بتكلفة 20 للوحدة</t>
        </is>
      </c>
      <c r="E46" s="14" t="inlineStr">
        <is>
          <t>1. اعتمد أمر الشراء وسجّل الاستلام
2. افتح القيد</t>
        </is>
      </c>
      <c r="F46" s="14" t="inlineStr">
        <is>
          <t>مدين المخزون 1130 ودائن البضاعة المستلمة غير المفوترة 2103 بتكلفة الاستلام</t>
        </is>
      </c>
      <c r="G46" s="13" t="inlineStr">
        <is>
          <t>P1</t>
        </is>
      </c>
      <c r="H46" s="14" t="inlineStr">
        <is>
          <t>تكامل</t>
        </is>
      </c>
      <c r="I46" s="13" t="inlineStr">
        <is>
          <t>لم يُختبر</t>
        </is>
      </c>
      <c r="J46" s="14" t="n"/>
      <c r="K46" s="13" t="n"/>
      <c r="L46" s="14" t="n"/>
    </row>
    <row r="47">
      <c r="A47" s="13" t="inlineStr">
        <is>
          <t>TC-E-046</t>
        </is>
      </c>
      <c r="B47" s="14" t="inlineStr">
        <is>
          <t>الترحيل التلقائي</t>
        </is>
      </c>
      <c r="C47" s="15" t="inlineStr">
        <is>
          <t>فاتورة المورد: تُقفل GRNI، فرق السعر، ضريبة المدخلات، والدائن للمورد</t>
        </is>
      </c>
      <c r="D47" s="14" t="inlineStr">
        <is>
          <t>استلام 200 وفاتورة مورد 210 بضريبة 15%</t>
        </is>
      </c>
      <c r="E47" s="14" t="inlineStr">
        <is>
          <t>1. أدخل فاتورة المورد واعتمدها
2. افتح قيدها</t>
        </is>
      </c>
      <c r="F47" s="14" t="inlineStr">
        <is>
          <t>مدين 2103 بـ 200، مدين 5105 فرق سعر 10، مدين 1140 ضريبة 31.50، دائن 2101 المورد 241.50</t>
        </is>
      </c>
      <c r="G47" s="13" t="inlineStr">
        <is>
          <t>P1</t>
        </is>
      </c>
      <c r="H47" s="14" t="inlineStr">
        <is>
          <t>تكامل</t>
        </is>
      </c>
      <c r="I47" s="13" t="inlineStr">
        <is>
          <t>لم يُختبر</t>
        </is>
      </c>
      <c r="J47" s="14" t="n"/>
      <c r="K47" s="13" t="n"/>
      <c r="L47" s="14" t="n"/>
    </row>
    <row r="48">
      <c r="A48" s="13" t="inlineStr">
        <is>
          <t>TC-E-047</t>
        </is>
      </c>
      <c r="B48" s="14" t="inlineStr">
        <is>
          <t>الترحيل التلقائي</t>
        </is>
      </c>
      <c r="C48" s="15" t="inlineStr">
        <is>
          <t>دفع المورد يُرحَّل مرة، وإبطاله يعكسه</t>
        </is>
      </c>
      <c r="D48" s="14" t="inlineStr">
        <is>
          <t>فاتورة مورد معتمدة</t>
        </is>
      </c>
      <c r="E48" s="14" t="inlineStr">
        <is>
          <t>1. سجّل دفعة 100 بنكية
2. أبطلها</t>
        </is>
      </c>
      <c r="F48" s="14" t="inlineStr">
        <is>
          <t>مدين 2101 دائن 1103 ثم عكس عند الإبطال وعودة الرصيد للأصل</t>
        </is>
      </c>
      <c r="G48" s="13" t="inlineStr">
        <is>
          <t>P1</t>
        </is>
      </c>
      <c r="H48" s="14" t="inlineStr">
        <is>
          <t>تكامل</t>
        </is>
      </c>
      <c r="I48" s="13" t="inlineStr">
        <is>
          <t>لم يُختبر</t>
        </is>
      </c>
      <c r="J48" s="14" t="n"/>
      <c r="K48" s="13" t="n"/>
      <c r="L48" s="14" t="n"/>
    </row>
    <row r="49">
      <c r="A49" s="13" t="inlineStr">
        <is>
          <t>TC-E-048</t>
        </is>
      </c>
      <c r="B49" s="14" t="inlineStr">
        <is>
          <t>الترحيل التلقائي</t>
        </is>
      </c>
      <c r="C49" s="15" t="inlineStr">
        <is>
          <t>إلغاء فاتورة مورد غير مدفوعة يعكس مرة واحدة والمدفوعة تُرفض</t>
        </is>
      </c>
      <c r="D49" s="14" t="inlineStr">
        <is>
          <t>فاتورة مورد غير مدفوعة وأخرى مدفوعة</t>
        </is>
      </c>
      <c r="E49" s="14" t="inlineStr">
        <is>
          <t>1. ألغِ الأولى
2. حاول إلغاء الثانية</t>
        </is>
      </c>
      <c r="F49" s="14" t="inlineStr">
        <is>
          <t>الأولى بعكس واحد. الثانية مرفوضة 409 حتى تُبطَل دفعاتها</t>
        </is>
      </c>
      <c r="G49" s="13" t="inlineStr">
        <is>
          <t>P2</t>
        </is>
      </c>
      <c r="H49" s="14" t="inlineStr">
        <is>
          <t>حالات حدّية</t>
        </is>
      </c>
      <c r="I49" s="13" t="inlineStr">
        <is>
          <t>لم يُختبر</t>
        </is>
      </c>
      <c r="J49" s="14" t="n"/>
      <c r="K49" s="13" t="n"/>
      <c r="L49" s="14" t="n"/>
    </row>
    <row r="50">
      <c r="A50" s="13" t="inlineStr">
        <is>
          <t>TC-E-049</t>
        </is>
      </c>
      <c r="B50" s="14" t="inlineStr">
        <is>
          <t>الترحيل التلقائي</t>
        </is>
      </c>
      <c r="C50" s="15" t="inlineStr">
        <is>
          <t>فاتورة محلية مباشرة: ما استُلم للمخزون والباقي مصروف</t>
        </is>
      </c>
      <c r="D50" s="14" t="inlineStr">
        <is>
          <t>فاتورة مورد مباشرة ببند مخزون وبند خدمة</t>
        </is>
      </c>
      <c r="E50" s="14" t="inlineStr">
        <is>
          <t>1. اعتمد الفاتورة</t>
        </is>
      </c>
      <c r="F50" s="14" t="inlineStr">
        <is>
          <t>مدين المخزون وتكلفة المشتريات المباشرة وضريبة المدخلات، دائن المورد بإجمالي الفاتورة</t>
        </is>
      </c>
      <c r="G50" s="13" t="inlineStr">
        <is>
          <t>P2</t>
        </is>
      </c>
      <c r="H50" s="14" t="inlineStr">
        <is>
          <t>تكامل</t>
        </is>
      </c>
      <c r="I50" s="13" t="inlineStr">
        <is>
          <t>لم يُختبر</t>
        </is>
      </c>
      <c r="J50" s="14" t="n"/>
      <c r="K50" s="13" t="n"/>
      <c r="L50" s="14" t="n"/>
    </row>
    <row r="51">
      <c r="A51" s="13" t="inlineStr">
        <is>
          <t>TC-E-050</t>
        </is>
      </c>
      <c r="B51" s="14" t="inlineStr">
        <is>
          <t>الترحيل التلقائي</t>
        </is>
      </c>
      <c r="C51" s="15" t="inlineStr">
        <is>
          <t>مخزون أول المدة يُرحَّل مقابل الرصيد الافتتاحي لحقوق الملكية</t>
        </is>
      </c>
      <c r="D51" s="14" t="inlineStr">
        <is>
          <t>رصيد مخزون افتتاحي مُدخل</t>
        </is>
      </c>
      <c r="E51" s="14" t="inlineStr">
        <is>
          <t>1. أدخل رصيدًا افتتاحيًا لصنف
2. افتح القيد</t>
        </is>
      </c>
      <c r="F51" s="14" t="inlineStr">
        <is>
          <t>مدين المخزون ودائن 3301 بقيمة الكمية × التكلفة</t>
        </is>
      </c>
      <c r="G51" s="13" t="inlineStr">
        <is>
          <t>P2</t>
        </is>
      </c>
      <c r="H51" s="14" t="inlineStr">
        <is>
          <t>تكامل</t>
        </is>
      </c>
      <c r="I51" s="13" t="inlineStr">
        <is>
          <t>لم يُختبر</t>
        </is>
      </c>
      <c r="J51" s="14" t="n"/>
      <c r="K51" s="13" t="n"/>
      <c r="L51" s="14" t="n"/>
    </row>
    <row r="52">
      <c r="A52" s="13" t="inlineStr">
        <is>
          <t>TC-E-051</t>
        </is>
      </c>
      <c r="B52" s="14" t="inlineStr">
        <is>
          <t>الترحيل التلقائي</t>
        </is>
      </c>
      <c r="C52" s="15" t="inlineStr">
        <is>
          <t>الشحنة المستوردة: ضريبة الاستيراد والتكاليف المرسملة مقابل مستحق الجمارك</t>
        </is>
      </c>
      <c r="D52" s="14" t="inlineStr">
        <is>
          <t>شحنة استيراد بتصريح جمركي وتكاليف هبوط</t>
        </is>
      </c>
      <c r="E52" s="14" t="inlineStr">
        <is>
          <t>1. سجّل التصريح والتكاليف
2. افتح قيدي الضريبة والتكاليف</t>
        </is>
      </c>
      <c r="F52" s="14" t="inlineStr">
        <is>
          <t>مدين ضريبة المدخلات 1140 دائن مستحقات الجمارك 2104؛ والتكاليف تُرسمل على المخزون المتبقي والباقي مصروف</t>
        </is>
      </c>
      <c r="G52" s="13" t="inlineStr">
        <is>
          <t>P1</t>
        </is>
      </c>
      <c r="H52" s="14" t="inlineStr">
        <is>
          <t>تكامل</t>
        </is>
      </c>
      <c r="I52" s="13" t="inlineStr">
        <is>
          <t>لم يُختبر</t>
        </is>
      </c>
      <c r="J52" s="14" t="n"/>
      <c r="K52" s="13" t="n"/>
      <c r="L52" s="14" t="n"/>
    </row>
    <row r="53">
      <c r="A53" s="13" t="inlineStr">
        <is>
          <t>TC-E-052</t>
        </is>
      </c>
      <c r="B53" s="14" t="inlineStr">
        <is>
          <t>الترحيل التلقائي</t>
        </is>
      </c>
      <c r="C53" s="15" t="inlineStr">
        <is>
          <t>الرواتب المعتمدة: GOSI صاحب العمل وفئات الخصومات ثم الدفع</t>
        </is>
      </c>
      <c r="D53" s="14" t="inlineStr">
        <is>
          <t>مسيّر رواتب شهر معتمد وفيه خصم سلفة وغرامة</t>
        </is>
      </c>
      <c r="E53" s="14" t="inlineStr">
        <is>
          <t>1. اعتمد المسيّر بشخص ثانٍ
2. افتح قيد الاستحقاق
3. سجّل الدفع وافتح قيده</t>
        </is>
      </c>
      <c r="F53" s="14" t="inlineStr">
        <is>
          <t>استحقاق: مصروف الرواتب وGOSI صاحب العمل، السلفة تُقفل من 1120 للموظف، الغرامة إلى 4201 إيراد آخر، دائن 2120 بصافي كل موظف. الدفع: مدين 2120 دائن 1103</t>
        </is>
      </c>
      <c r="G53" s="13" t="inlineStr">
        <is>
          <t>P1</t>
        </is>
      </c>
      <c r="H53" s="14" t="inlineStr">
        <is>
          <t>تكامل</t>
        </is>
      </c>
      <c r="I53" s="13" t="inlineStr">
        <is>
          <t>لم يُختبر</t>
        </is>
      </c>
      <c r="J53" s="14" t="n"/>
      <c r="K53" s="13" t="n"/>
      <c r="L53" s="14" t="n"/>
    </row>
    <row r="54">
      <c r="A54" s="13" t="inlineStr">
        <is>
          <t>TC-E-053</t>
        </is>
      </c>
      <c r="B54" s="14" t="inlineStr">
        <is>
          <t>الترحيل التلقائي</t>
        </is>
      </c>
      <c r="C54" s="15" t="inlineStr">
        <is>
          <t>العمولات: يُرحَّل التغيّر في المستحق صعودًا ثم عكسًا</t>
        </is>
      </c>
      <c r="D54" s="14" t="inlineStr">
        <is>
          <t>عمولة مستحقة ثم استرجاع (clawback)</t>
        </is>
      </c>
      <c r="E54" s="14" t="inlineStr">
        <is>
          <t>1. اجعل العمولة مستحقة
2. أدخل الاسترجاع
3. شغّل الترحيل</t>
        </is>
      </c>
      <c r="F54" s="14" t="inlineStr">
        <is>
          <t>قيد بالزيادة (6105 مدين و2122 دائن) ثم قيد بالنقص، بحيث يساوي رصيد 2122 المستحق الفعلي</t>
        </is>
      </c>
      <c r="G54" s="13" t="inlineStr">
        <is>
          <t>P2</t>
        </is>
      </c>
      <c r="H54" s="14" t="inlineStr">
        <is>
          <t>تكامل</t>
        </is>
      </c>
      <c r="I54" s="13" t="inlineStr">
        <is>
          <t>لم يُختبر</t>
        </is>
      </c>
      <c r="J54" s="14" t="n"/>
      <c r="K54" s="13" t="n"/>
      <c r="L54" s="14" t="n"/>
    </row>
    <row r="55">
      <c r="A55" s="13" t="inlineStr">
        <is>
          <t>TC-E-054</t>
        </is>
      </c>
      <c r="B55" s="14" t="inlineStr">
        <is>
          <t>الترحيل التلقائي</t>
        </is>
      </c>
      <c r="C55" s="15" t="inlineStr">
        <is>
          <t>فحوص التسوية: الميزان، الذمم، الموردون، المخزون، GRNI</t>
        </is>
      </c>
      <c r="D55" s="14" t="inlineStr">
        <is>
          <t>مستندات مرحّلة</t>
        </is>
      </c>
      <c r="E55" s="14" t="inlineStr">
        <is>
          <t>1. افتح /accounting/reports/reconciliation أو لوحة الحسابات</t>
        </is>
      </c>
      <c r="F55" s="14" t="inlineStr">
        <is>
          <t>كل فحص يطابق أرصدة الدفتر مع المستندات (ذمم العملاء، الموردون، المخزون، GRNI) ويوضّح الفرق إن وُجد</t>
        </is>
      </c>
      <c r="G55" s="13" t="inlineStr">
        <is>
          <t>P1</t>
        </is>
      </c>
      <c r="H55" s="14" t="inlineStr">
        <is>
          <t>تكامل</t>
        </is>
      </c>
      <c r="I55" s="13" t="inlineStr">
        <is>
          <t>لم يُختبر</t>
        </is>
      </c>
      <c r="J55" s="14" t="n"/>
      <c r="K55" s="13" t="n"/>
      <c r="L55" s="14" t="n"/>
    </row>
    <row r="56">
      <c r="A56" s="13" t="inlineStr">
        <is>
          <t>TC-E-055</t>
        </is>
      </c>
      <c r="B56" s="14" t="inlineStr">
        <is>
          <t>ضريبة القيمة المضافة</t>
        </is>
      </c>
      <c r="C56" s="15" t="inlineStr">
        <is>
          <t>لا تُعدّ إقرارًا ما دامت المنشأة غير مسجلة، لكن مراقب الحد يعمل</t>
        </is>
      </c>
      <c r="D56" s="14" t="inlineStr">
        <is>
          <t>الشركة غير مسجلة في الضريبة</t>
        </is>
      </c>
      <c r="E56" s="14" t="inlineStr">
        <is>
          <t>1. افتح /accounting/vat وحاول إعداد إقرار</t>
        </is>
      </c>
      <c r="F56" s="14" t="inlineStr">
        <is>
          <t>رفض الإعداد برسالة «غير مسجلة»، ويظهر مراقب حد التسجيل (375,000 إلزامي / 187,500 اختياري) بإجمالي التوريدات الـ12 شهرًا</t>
        </is>
      </c>
      <c r="G56" s="13" t="inlineStr">
        <is>
          <t>P1</t>
        </is>
      </c>
      <c r="H56" s="14" t="inlineStr">
        <is>
          <t>حالات حدّية</t>
        </is>
      </c>
      <c r="I56" s="13" t="inlineStr">
        <is>
          <t>لم يُختبر</t>
        </is>
      </c>
      <c r="J56" s="14" t="n"/>
      <c r="K56" s="13" t="n"/>
      <c r="L56" s="14" t="n"/>
    </row>
    <row r="57">
      <c r="A57" s="13" t="inlineStr">
        <is>
          <t>TC-E-056</t>
        </is>
      </c>
      <c r="B57" s="14" t="inlineStr">
        <is>
          <t>ضريبة القيمة المضافة</t>
        </is>
      </c>
      <c r="C57" s="15" t="inlineStr">
        <is>
          <t>إقرار من أسطر مرمّزة يطابق حسابي الضريبة</t>
        </is>
      </c>
      <c r="D57" s="14" t="inlineStr">
        <is>
          <t>الشركة مسجلة؛ فواتير ومشتريات بأكواد ضريبة</t>
        </is>
      </c>
      <c r="E57" s="14" t="inlineStr">
        <is>
          <t>1. أعدّ إقرارًا للفترة
2. قارن المربعات مع أرصدة 2110 و1140</t>
        </is>
      </c>
      <c r="F57" s="14" t="inlineStr">
        <is>
          <t>المربعات 1–16 مملوءة من الأسطر المرمّزة، صافي الضريبة = مخرجات − مدخلات، والفرق مع الدفتر 0.00</t>
        </is>
      </c>
      <c r="G57" s="13" t="inlineStr">
        <is>
          <t>P1</t>
        </is>
      </c>
      <c r="H57" s="14" t="inlineStr">
        <is>
          <t>وظيفي</t>
        </is>
      </c>
      <c r="I57" s="13" t="inlineStr">
        <is>
          <t>لم يُختبر</t>
        </is>
      </c>
      <c r="J57" s="14" t="n"/>
      <c r="K57" s="13" t="n"/>
      <c r="L57" s="14" t="n"/>
    </row>
    <row r="58">
      <c r="A58" s="13" t="inlineStr">
        <is>
          <t>TC-E-057</t>
        </is>
      </c>
      <c r="B58" s="14" t="inlineStr">
        <is>
          <t>ضريبة القيمة المضافة</t>
        </is>
      </c>
      <c r="C58" s="15" t="inlineStr">
        <is>
          <t>قيد يدوي على حساب ضريبة بلا كود يظهر كفرق ويمنع التقديم</t>
        </is>
      </c>
      <c r="D58" s="14" t="inlineStr">
        <is>
          <t>قيد يدوي على 2110 بلا كود</t>
        </is>
      </c>
      <c r="E58" s="14" t="inlineStr">
        <is>
          <t>1. أعدّ إقرارًا
2. حاول التقديم</t>
        </is>
      </c>
      <c r="F58" s="14" t="inlineStr">
        <is>
          <t>يظهر فرق غير صفري، والتقديم مرفوض 409 حتى يُعكس القيد ويُعاد بكود صحيح</t>
        </is>
      </c>
      <c r="G58" s="13" t="inlineStr">
        <is>
          <t>P1</t>
        </is>
      </c>
      <c r="H58" s="14" t="inlineStr">
        <is>
          <t>حالات حدّية</t>
        </is>
      </c>
      <c r="I58" s="13" t="inlineStr">
        <is>
          <t>لم يُختبر</t>
        </is>
      </c>
      <c r="J58" s="14" t="n"/>
      <c r="K58" s="13" t="n"/>
      <c r="L58" s="14" t="n"/>
    </row>
    <row r="59">
      <c r="A59" s="13" t="inlineStr">
        <is>
          <t>TC-E-058</t>
        </is>
      </c>
      <c r="B59" s="14" t="inlineStr">
        <is>
          <t>ضريبة القيمة المضافة</t>
        </is>
      </c>
      <c r="C59" s="15" t="inlineStr">
        <is>
          <t>فترتان متداخلتان مرفوضتان، وإعادة إعداد الفترة نفسها تحدّث ولا تكرّر</t>
        </is>
      </c>
      <c r="D59" s="14" t="inlineStr">
        <is>
          <t>إقرار مسودة لفترة</t>
        </is>
      </c>
      <c r="E59" s="14" t="inlineStr">
        <is>
          <t>1. أعدّ إقرارًا لفترة تتداخل مع الأول
2. أعدّ الفترة نفسها مرة ثانية</t>
        </is>
      </c>
      <c r="F59" s="14" t="inlineStr">
        <is>
          <t>الأول مرفوض. الثاني يحدّث المسودة نفسها بلا تكرار</t>
        </is>
      </c>
      <c r="G59" s="13" t="inlineStr">
        <is>
          <t>P2</t>
        </is>
      </c>
      <c r="H59" s="14" t="inlineStr">
        <is>
          <t>حالات حدّية</t>
        </is>
      </c>
      <c r="I59" s="13" t="inlineStr">
        <is>
          <t>لم يُختبر</t>
        </is>
      </c>
      <c r="J59" s="14" t="n"/>
      <c r="K59" s="13" t="n"/>
      <c r="L59" s="14" t="n"/>
    </row>
    <row r="60">
      <c r="A60" s="13" t="inlineStr">
        <is>
          <t>TC-E-059</t>
        </is>
      </c>
      <c r="B60" s="14" t="inlineStr">
        <is>
          <t>ضريبة القيمة المضافة</t>
        </is>
      </c>
      <c r="C60" s="15" t="inlineStr">
        <is>
          <t>تصدير الإقرار إلى Excel</t>
        </is>
      </c>
      <c r="D60" s="14" t="inlineStr">
        <is>
          <t>إقرار معدّ</t>
        </is>
      </c>
      <c r="E60" s="14" t="inlineStr">
        <is>
          <t>1. اضغط تصدير Excel</t>
        </is>
      </c>
      <c r="F60" s="14" t="inlineStr">
        <is>
          <t>ملف بمربعات الإقرار مفصّلة (المبلغ والضريبة) ومطابقة الدفتر</t>
        </is>
      </c>
      <c r="G60" s="13" t="inlineStr">
        <is>
          <t>P2</t>
        </is>
      </c>
      <c r="H60" s="14" t="inlineStr">
        <is>
          <t>واجهة وعرض</t>
        </is>
      </c>
      <c r="I60" s="13" t="inlineStr">
        <is>
          <t>لم يُختبر</t>
        </is>
      </c>
      <c r="J60" s="14" t="n"/>
      <c r="K60" s="13" t="n"/>
      <c r="L60" s="14" t="n"/>
    </row>
    <row r="61">
      <c r="A61" s="13" t="inlineStr">
        <is>
          <t>TC-E-060</t>
        </is>
      </c>
      <c r="B61" s="14" t="inlineStr">
        <is>
          <t>ضريبة القيمة المضافة</t>
        </is>
      </c>
      <c r="C61" s="15" t="inlineStr">
        <is>
          <t>تقديم الإقرار يُنشئ قيد التسوية</t>
        </is>
      </c>
      <c r="D61" s="14" t="inlineStr">
        <is>
          <t>إقرار مسودة بلا فرق</t>
        </is>
      </c>
      <c r="E61" s="14" t="inlineStr">
        <is>
          <t>1. قدّم الإقرار
2. افتح قيد التسوية</t>
        </is>
      </c>
      <c r="F61" s="14" t="inlineStr">
        <is>
          <t>يصبح filed، والقيد يصفّر 2110 و1140 ويرحّل الصافي إلى 2111 (ضريبة مستحقة/مستردة) وهو متوازن. التقديم الثاني والإعداد لنفس الفترة 409</t>
        </is>
      </c>
      <c r="G61" s="13" t="inlineStr">
        <is>
          <t>P1</t>
        </is>
      </c>
      <c r="H61" s="14" t="inlineStr">
        <is>
          <t>وظيفي</t>
        </is>
      </c>
      <c r="I61" s="13" t="inlineStr">
        <is>
          <t>لم يُختبر</t>
        </is>
      </c>
      <c r="J61" s="14" t="n"/>
      <c r="K61" s="13" t="n"/>
      <c r="L61" s="14" t="n"/>
    </row>
    <row r="62">
      <c r="A62" s="13" t="inlineStr">
        <is>
          <t>TC-E-061</t>
        </is>
      </c>
      <c r="B62" s="14" t="inlineStr">
        <is>
          <t>ضريبة القيمة المضافة</t>
        </is>
      </c>
      <c r="C62" s="15" t="inlineStr">
        <is>
          <t>إلغاء التقديم يحتاج ledger.close ويعكس التسوية مرة واحدة</t>
        </is>
      </c>
      <c r="D62" s="14" t="inlineStr">
        <is>
          <t>إقرار مقدّم</t>
        </is>
      </c>
      <c r="E62" s="14" t="inlineStr">
        <is>
          <t>1. بدور المحاسب اضغط «إلغاء التقديم»
2. بدور المدير العام بسبب
3. قدّمه مجددًا</t>
        </is>
      </c>
      <c r="F62" s="14" t="inlineStr">
        <is>
          <t>المحاسب 403. المدير: يعود الإقرار مسودة وتُعكس التسوية مرة واحدة. التقديم مجددًا ينجح ويصفّر الحسابين</t>
        </is>
      </c>
      <c r="G62" s="13" t="inlineStr">
        <is>
          <t>P1</t>
        </is>
      </c>
      <c r="H62" s="14" t="inlineStr">
        <is>
          <t>صلاحيات</t>
        </is>
      </c>
      <c r="I62" s="13" t="inlineStr">
        <is>
          <t>لم يُختبر</t>
        </is>
      </c>
      <c r="J62" s="14" t="n"/>
      <c r="K62" s="13" t="n"/>
      <c r="L62" s="14" t="n"/>
    </row>
    <row r="63">
      <c r="A63" s="13" t="inlineStr">
        <is>
          <t>TC-E-062</t>
        </is>
      </c>
      <c r="B63" s="14" t="inlineStr">
        <is>
          <t>ضريبة القيمة المضافة</t>
        </is>
      </c>
      <c r="C63" s="15" t="inlineStr">
        <is>
          <t>مستند معكوس يصافي نفسه في الإقرار</t>
        </is>
      </c>
      <c r="D63" s="14" t="inlineStr">
        <is>
          <t>فاتورة مرحّلة ثم ملغاة</t>
        </is>
      </c>
      <c r="E63" s="14" t="inlineStr">
        <is>
          <t>1. أعدّ الإقرار للفترة</t>
        </is>
      </c>
      <c r="F63" s="14" t="inlineStr">
        <is>
          <t>أساس الضريبة للفاتورة والعكس يصافيان إلى صفر فلا يظهر البيع في المربعات</t>
        </is>
      </c>
      <c r="G63" s="13" t="inlineStr">
        <is>
          <t>P1</t>
        </is>
      </c>
      <c r="H63" s="14" t="inlineStr">
        <is>
          <t>حالات حدّية</t>
        </is>
      </c>
      <c r="I63" s="13" t="inlineStr">
        <is>
          <t>لم يُختبر</t>
        </is>
      </c>
      <c r="J63" s="14" t="n"/>
      <c r="K63" s="13" t="n"/>
      <c r="L63" s="14" t="n"/>
    </row>
    <row r="64">
      <c r="A64" s="13" t="inlineStr">
        <is>
          <t>TC-E-063</t>
        </is>
      </c>
      <c r="B64" s="14" t="inlineStr">
        <is>
          <t>التسوية البنكية</t>
        </is>
      </c>
      <c r="C64" s="15" t="inlineStr">
        <is>
          <t>كشف على حساب غير بنكي أو غير متّزن الأرصدة يُرفض</t>
        </is>
      </c>
      <c r="D64" s="14" t="inlineStr">
        <is>
          <t>حساب نقدية وبنك</t>
        </is>
      </c>
      <c r="E64" s="14" t="inlineStr">
        <is>
          <t>1. ارفع كشفًا على حساب مصروف
2. ارفع كشفًا ورصيده الختامي ≠ الافتتاحي + الحركات</t>
        </is>
      </c>
      <c r="F64" s="14" t="inlineStr">
        <is>
          <t>رفض 400 في الحالتين برسالة واضحة</t>
        </is>
      </c>
      <c r="G64" s="13" t="inlineStr">
        <is>
          <t>P1</t>
        </is>
      </c>
      <c r="H64" s="14" t="inlineStr">
        <is>
          <t>تحقق من المدخلات</t>
        </is>
      </c>
      <c r="I64" s="13" t="inlineStr">
        <is>
          <t>لم يُختبر</t>
        </is>
      </c>
      <c r="J64" s="14" t="n"/>
      <c r="K64" s="13" t="n"/>
      <c r="L64" s="14" t="n"/>
    </row>
    <row r="65">
      <c r="A65" s="13" t="inlineStr">
        <is>
          <t>TC-E-064</t>
        </is>
      </c>
      <c r="B65" s="14" t="inlineStr">
        <is>
          <t>التسوية البنكية</t>
        </is>
      </c>
      <c r="C65" s="15" t="inlineStr">
        <is>
          <t>مطابقة بالمبلغ والتاريخ تُظهر الفرق وتُسوّى عند صفر</t>
        </is>
      </c>
      <c r="D65" s="14" t="inlineStr">
        <is>
          <t>كشف بنكي بحركات توافق قيودًا في الدفتر</t>
        </is>
      </c>
      <c r="E65" s="14" t="inlineStr">
        <is>
          <t>1. افتح الكشف واضغط «مطابقة تلقائية»
2. طابق ما تبقى يدويًا
3. اضغط «اعتماد التسوية»</t>
        </is>
      </c>
      <c r="F65" s="14" t="inlineStr">
        <is>
          <t>تظهر الفروق بين رصيد الدفتر والكشف، وتُعتمد التسوية فقط عندما يصبح الفرق صفرًا</t>
        </is>
      </c>
      <c r="G65" s="13" t="inlineStr">
        <is>
          <t>P1</t>
        </is>
      </c>
      <c r="H65" s="14" t="inlineStr">
        <is>
          <t>وظيفي</t>
        </is>
      </c>
      <c r="I65" s="13" t="inlineStr">
        <is>
          <t>لم يُختبر</t>
        </is>
      </c>
      <c r="J65" s="14" t="n"/>
      <c r="K65" s="13" t="n"/>
      <c r="L65" s="14" t="n"/>
    </row>
    <row r="66">
      <c r="A66" s="13" t="inlineStr">
        <is>
          <t>TC-E-065</t>
        </is>
      </c>
      <c r="B66" s="14" t="inlineStr">
        <is>
          <t>التسوية البنكية</t>
        </is>
      </c>
      <c r="C66" s="15" t="inlineStr">
        <is>
          <t>سطر دفتر مطابَق لا يُطابَق ثانية في كشف آخر</t>
        </is>
      </c>
      <c r="D66" s="14" t="inlineStr">
        <is>
          <t>سطر دفتر مطابق في كشف</t>
        </is>
      </c>
      <c r="E66" s="14" t="inlineStr">
        <is>
          <t>1. افتح كشفًا آخر وحاول مطابقة السطر نفسه</t>
        </is>
      </c>
      <c r="F66" s="14" t="inlineStr">
        <is>
          <t>رفض 409 (السطر مطابق) ولا تتغير التسوية الأولى</t>
        </is>
      </c>
      <c r="G66" s="13" t="inlineStr">
        <is>
          <t>P2</t>
        </is>
      </c>
      <c r="H66" s="14" t="inlineStr">
        <is>
          <t>حالات حدّية</t>
        </is>
      </c>
      <c r="I66" s="13" t="inlineStr">
        <is>
          <t>لم يُختبر</t>
        </is>
      </c>
      <c r="J66" s="14" t="n"/>
      <c r="K66" s="13" t="n"/>
      <c r="L66" s="14" t="n"/>
    </row>
    <row r="67">
      <c r="A67" s="13" t="inlineStr">
        <is>
          <t>TC-E-066</t>
        </is>
      </c>
      <c r="B67" s="14" t="inlineStr">
        <is>
          <t>الأصول الثابتة والمخصصات</t>
        </is>
      </c>
      <c r="C67" s="15" t="inlineStr">
        <is>
          <t>تسجيل أصل مشترى بقيد وربطه بحساب الأصل والإهلاك</t>
        </is>
      </c>
      <c r="D67" s="14" t="inlineStr">
        <is>
          <t>قيد شراء أصل مرحّل</t>
        </is>
      </c>
      <c r="E67" s="14" t="inlineStr">
        <is>
          <t>1. افتح /accounting/assets وسجّل الأصل
2. اختر حساب الأصل والإهلاك المتراكم ومصروف الإهلاك والعمر</t>
        </is>
      </c>
      <c r="F67" s="14" t="inlineStr">
        <is>
          <t>يُسجَّل الأصل بالحسابات الصحيحة ويظهر في السجل بتكلفته وتاريخ بدء الإهلاك</t>
        </is>
      </c>
      <c r="G67" s="13" t="inlineStr">
        <is>
          <t>P1</t>
        </is>
      </c>
      <c r="H67" s="14" t="inlineStr">
        <is>
          <t>وظيفي</t>
        </is>
      </c>
      <c r="I67" s="13" t="inlineStr">
        <is>
          <t>لم يُختبر</t>
        </is>
      </c>
      <c r="J67" s="14" t="n"/>
      <c r="K67" s="13" t="n"/>
      <c r="L67" s="14" t="n"/>
    </row>
    <row r="68">
      <c r="A68" s="13" t="inlineStr">
        <is>
          <t>TC-E-067</t>
        </is>
      </c>
      <c r="B68" s="14" t="inlineStr">
        <is>
          <t>الأصول الثابتة والمخصصات</t>
        </is>
      </c>
      <c r="C68" s="15" t="inlineStr">
        <is>
          <t>الإهلاك الشهري بقيد واحد، يُعوّض الأشهر السابقة، ولا يتكرر</t>
        </is>
      </c>
      <c r="D68" s="14" t="inlineStr">
        <is>
          <t>أصل مسجّل من عدة أشهر</t>
        </is>
      </c>
      <c r="E68" s="14" t="inlineStr">
        <is>
          <t>1. شغّل الإهلاك لشهر منتهٍ
2. شغّل الشهر نفسه ثانية</t>
        </is>
      </c>
      <c r="F68" s="14" t="inlineStr">
        <is>
          <t>قيد واحد لكل تشغيل يشمل الأشهر الفائتة غير المهلكة. التشغيل الثاني لا يُنشئ شيئًا</t>
        </is>
      </c>
      <c r="G68" s="13" t="inlineStr">
        <is>
          <t>P1</t>
        </is>
      </c>
      <c r="H68" s="14" t="inlineStr">
        <is>
          <t>وظيفي</t>
        </is>
      </c>
      <c r="I68" s="13" t="inlineStr">
        <is>
          <t>لم يُختبر</t>
        </is>
      </c>
      <c r="J68" s="14" t="n"/>
      <c r="K68" s="13" t="n"/>
      <c r="L68" s="14" t="n"/>
    </row>
    <row r="69">
      <c r="A69" s="13" t="inlineStr">
        <is>
          <t>TC-E-068</t>
        </is>
      </c>
      <c r="B69" s="14" t="inlineStr">
        <is>
          <t>الأصول الثابتة والمخصصات</t>
        </is>
      </c>
      <c r="C69" s="15" t="inlineStr">
        <is>
          <t>تشغيل شهر لم ينتهِ أو قبل البدء، وتعديل أصل بدأ إهلاكه، مرفوضان</t>
        </is>
      </c>
      <c r="D69" s="14" t="inlineStr">
        <is>
          <t>أصل مهلك</t>
        </is>
      </c>
      <c r="E69" s="14" t="inlineStr">
        <is>
          <t>1. شغّل الإهلاك للشهر الحالي
2. شغّل لشهر قبل تاريخ البدء
3. عدّل تكلفة أصل بدأ إهلاكه</t>
        </is>
      </c>
      <c r="F69" s="14" t="inlineStr">
        <is>
          <t>الكل مرفوض برسالة سبب</t>
        </is>
      </c>
      <c r="G69" s="13" t="inlineStr">
        <is>
          <t>P2</t>
        </is>
      </c>
      <c r="H69" s="14" t="inlineStr">
        <is>
          <t>حالات حدّية</t>
        </is>
      </c>
      <c r="I69" s="13" t="inlineStr">
        <is>
          <t>لم يُختبر</t>
        </is>
      </c>
      <c r="J69" s="14" t="n"/>
      <c r="K69" s="13" t="n"/>
      <c r="L69" s="14" t="n"/>
    </row>
    <row r="70">
      <c r="A70" s="13" t="inlineStr">
        <is>
          <t>TC-E-069</t>
        </is>
      </c>
      <c r="B70" s="14" t="inlineStr">
        <is>
          <t>الأصول الثابتة والمخصصات</t>
        </is>
      </c>
      <c r="C70" s="15" t="inlineStr">
        <is>
          <t>استبعاد أصل يُهلكه حتى شهر الاستبعاد ويرحّل الربح أو الخسارة</t>
        </is>
      </c>
      <c r="D70" s="14" t="inlineStr">
        <is>
          <t>أصل بقيمة دفترية</t>
        </is>
      </c>
      <c r="E70" s="14" t="inlineStr">
        <is>
          <t>1. استبعد الأصل بسعر بيع
2. افتح القيد</t>
        </is>
      </c>
      <c r="F70" s="14" t="inlineStr">
        <is>
          <t>إهلاك حتى شهر الاستبعاد ثم قيد يُقفل التكلفة والمتراكم ويثبّت ربحًا/خسارة بقدر الفرق</t>
        </is>
      </c>
      <c r="G70" s="13" t="inlineStr">
        <is>
          <t>P1</t>
        </is>
      </c>
      <c r="H70" s="14" t="inlineStr">
        <is>
          <t>وظيفي</t>
        </is>
      </c>
      <c r="I70" s="13" t="inlineStr">
        <is>
          <t>لم يُختبر</t>
        </is>
      </c>
      <c r="J70" s="14" t="n"/>
      <c r="K70" s="13" t="n"/>
      <c r="L70" s="14" t="n"/>
    </row>
    <row r="71">
      <c r="A71" s="13" t="inlineStr">
        <is>
          <t>TC-E-070</t>
        </is>
      </c>
      <c r="B71" s="14" t="inlineStr">
        <is>
          <t>الأصول الثابتة والمخصصات</t>
        </is>
      </c>
      <c r="C71" s="15" t="inlineStr">
        <is>
          <t>مخصص نهاية الخدمة حسب المادة 84 يُحسب لكل موظف ويُرحَّل مرة واحدة</t>
        </is>
      </c>
      <c r="D71" s="14" t="inlineStr">
        <is>
          <t>موظفون بتواريخ تعيين ورواتب</t>
        </is>
      </c>
      <c r="E71" s="14" t="inlineStr">
        <is>
          <t>1. افتح مخصص نهاية الخدمة واحسب
2. رحّل المخصص
3. أعد الترحيل</t>
        </is>
      </c>
      <c r="F71" s="14" t="inlineStr">
        <is>
          <t>الاستحقاق نصف شهر عن أول 5 سنوات وشهر كامل بعدها (المادة 84) لكل موظف. الترحيل الثاني لا يُنشئ شيئًا</t>
        </is>
      </c>
      <c r="G71" s="13" t="inlineStr">
        <is>
          <t>P1</t>
        </is>
      </c>
      <c r="H71" s="14" t="inlineStr">
        <is>
          <t>وظيفي</t>
        </is>
      </c>
      <c r="I71" s="13" t="inlineStr">
        <is>
          <t>لم يُختبر</t>
        </is>
      </c>
      <c r="J71" s="14" t="n"/>
      <c r="K71" s="13" t="n"/>
      <c r="L71" s="14" t="n"/>
    </row>
    <row r="72">
      <c r="A72" s="13" t="inlineStr">
        <is>
          <t>TC-E-071</t>
        </is>
      </c>
      <c r="B72" s="14" t="inlineStr">
        <is>
          <t>القوائم الإضافية</t>
        </is>
      </c>
      <c r="C72" s="15" t="inlineStr">
        <is>
          <t>التدفقات النقدية تطابق التغيّر في النقد</t>
        </is>
      </c>
      <c r="D72" s="14" t="inlineStr">
        <is>
          <t>حركات نقد وبنك في الفترة</t>
        </is>
      </c>
      <c r="E72" s="14" t="inlineStr">
        <is>
          <t>1. افتح قائمة التدفقات النقدية للفترة</t>
        </is>
      </c>
      <c r="F72" s="14" t="inlineStr">
        <is>
          <t>صافي التدفقات = رصيد النقد آخر الفترة − أولها</t>
        </is>
      </c>
      <c r="G72" s="13" t="inlineStr">
        <is>
          <t>P1</t>
        </is>
      </c>
      <c r="H72" s="14" t="inlineStr">
        <is>
          <t>وظيفي</t>
        </is>
      </c>
      <c r="I72" s="13" t="inlineStr">
        <is>
          <t>لم يُختبر</t>
        </is>
      </c>
      <c r="J72" s="14" t="n"/>
      <c r="K72" s="13" t="n"/>
      <c r="L72" s="14" t="n"/>
    </row>
    <row r="73">
      <c r="A73" s="13" t="inlineStr">
        <is>
          <t>TC-E-072</t>
        </is>
      </c>
      <c r="B73" s="14" t="inlineStr">
        <is>
          <t>القوائم الإضافية</t>
        </is>
      </c>
      <c r="C73" s="15" t="inlineStr">
        <is>
          <t>التغيّرات في حقوق الملكية تقفل على حقوق الملكية في الميزانية</t>
        </is>
      </c>
      <c r="D73" s="14" t="inlineStr">
        <is>
          <t>رأس مال وأرباح مرحّلة وربح السنة</t>
        </is>
      </c>
      <c r="E73" s="14" t="inlineStr">
        <is>
          <t>1. افتح قائمة التغيّرات في حقوق الملكية</t>
        </is>
      </c>
      <c r="F73" s="14" t="inlineStr">
        <is>
          <t>الرصيد الختامي = حقوق الملكية في الميزانية + ربح الفترة</t>
        </is>
      </c>
      <c r="G73" s="13" t="inlineStr">
        <is>
          <t>P1</t>
        </is>
      </c>
      <c r="H73" s="14" t="inlineStr">
        <is>
          <t>وظيفي</t>
        </is>
      </c>
      <c r="I73" s="13" t="inlineStr">
        <is>
          <t>لم يُختبر</t>
        </is>
      </c>
      <c r="J73" s="14" t="n"/>
      <c r="K73" s="13" t="n"/>
      <c r="L73" s="14" t="n"/>
    </row>
    <row r="74">
      <c r="A74" s="13" t="inlineStr">
        <is>
          <t>TC-E-073</t>
        </is>
      </c>
      <c r="B74" s="14" t="inlineStr">
        <is>
          <t>القوائم الإضافية</t>
        </is>
      </c>
      <c r="C74" s="15" t="inlineStr">
        <is>
          <t>أعمار الديون تطابق حسابي العملاء والموردين</t>
        </is>
      </c>
      <c r="D74" s="14" t="inlineStr">
        <is>
          <t>فواتير مفتوحة بأعمار مختلفة</t>
        </is>
      </c>
      <c r="E74" s="14" t="inlineStr">
        <is>
          <t>1. افتح أعمار الذمم المدينة ثم الدائنة</t>
        </is>
      </c>
      <c r="F74" s="14" t="inlineStr">
        <is>
          <t>مجاميع الأعمار (FIFO) = رصيد 1110 و2101 على الترتيب</t>
        </is>
      </c>
      <c r="G74" s="13" t="inlineStr">
        <is>
          <t>P1</t>
        </is>
      </c>
      <c r="H74" s="14" t="inlineStr">
        <is>
          <t>وظيفي</t>
        </is>
      </c>
      <c r="I74" s="13" t="inlineStr">
        <is>
          <t>لم يُختبر</t>
        </is>
      </c>
      <c r="J74" s="14" t="n"/>
      <c r="K74" s="13" t="n"/>
      <c r="L74" s="14" t="n"/>
    </row>
    <row r="75">
      <c r="A75" s="13" t="inlineStr">
        <is>
          <t>TC-E-074</t>
        </is>
      </c>
      <c r="B75" s="14" t="inlineStr">
        <is>
          <t>القوائم الإضافية</t>
        </is>
      </c>
      <c r="C75" s="15" t="inlineStr">
        <is>
          <t>جدول وعاء الزكاة: الإضافات − الحسومات وقاعدة الأكبر</t>
        </is>
      </c>
      <c r="D75" s="14" t="inlineStr">
        <is>
          <t>ميزانية ببنود زكوية</t>
        </is>
      </c>
      <c r="E75" s="14" t="inlineStr">
        <is>
          <t>1. افتح جدول الزكاة للسنة</t>
        </is>
      </c>
      <c r="F75" s="14" t="inlineStr">
        <is>
          <t>الوعاء = حقوق الملكية + الإضافات − الحسومات، والوعاء الخاضع هو الأكبر من الوعاء والربح المعدّل</t>
        </is>
      </c>
      <c r="G75" s="13" t="inlineStr">
        <is>
          <t>P2</t>
        </is>
      </c>
      <c r="H75" s="14" t="inlineStr">
        <is>
          <t>وظيفي</t>
        </is>
      </c>
      <c r="I75" s="13" t="inlineStr">
        <is>
          <t>لم يُختبر</t>
        </is>
      </c>
      <c r="J75" s="14" t="n"/>
      <c r="K75" s="13" t="n"/>
      <c r="L75" s="14" t="n"/>
    </row>
    <row r="76">
      <c r="A76" s="13" t="inlineStr">
        <is>
          <t>TC-E-075</t>
        </is>
      </c>
      <c r="B76" s="14" t="inlineStr">
        <is>
          <t>الإقفال وحزمة المراجع</t>
        </is>
      </c>
      <c r="C76" s="15" t="inlineStr">
        <is>
          <t>السنة التي لم تنتهِ لا تُقفل ويظهر سبب المنع</t>
        </is>
      </c>
      <c r="D76" s="14" t="inlineStr">
        <is>
          <t>السنة الحالية مفتوحة</t>
        </is>
      </c>
      <c r="E76" s="14" t="inlineStr">
        <is>
          <t>1. افتح /accounting/closing
2. حاول إقفال السنة الحالية</t>
        </is>
      </c>
      <c r="F76" s="14" t="inlineStr">
        <is>
          <t>تظهر السنة بحالة مفتوحة ولا يُفعَّل الزر مع سبب «لم تنتهِ»؛ المحاسب 403 والمدير 409</t>
        </is>
      </c>
      <c r="G76" s="13" t="inlineStr">
        <is>
          <t>P1</t>
        </is>
      </c>
      <c r="H76" s="14" t="inlineStr">
        <is>
          <t>حالات حدّية</t>
        </is>
      </c>
      <c r="I76" s="13" t="inlineStr">
        <is>
          <t>لم يُختبر</t>
        </is>
      </c>
      <c r="J76" s="14" t="n"/>
      <c r="K76" s="13" t="n"/>
      <c r="L76" s="14" t="n"/>
    </row>
    <row r="77">
      <c r="A77" s="13" t="inlineStr">
        <is>
          <t>TC-E-076</t>
        </is>
      </c>
      <c r="B77" s="14" t="inlineStr">
        <is>
          <t>الإقفال وحزمة المراجع</t>
        </is>
      </c>
      <c r="C77" s="15" t="inlineStr">
        <is>
          <t>إقفال سنة منتهية يرحّل الإيراد والمصروف إلى الأرباح المبقاة ويقفل الدفاتر</t>
        </is>
      </c>
      <c r="D77" s="14" t="inlineStr">
        <is>
          <t>سنة منتهية فيها إيراد 5,000 ومصروف 2,000</t>
        </is>
      </c>
      <c r="E77" s="14" t="inlineStr">
        <is>
          <t>1. اضغط «إقفال السنة» بدور المدير
2. افتح قائمة الدخل والميزانية
3. حاول إضافة قيد بتاريخ داخل السنة</t>
        </is>
      </c>
      <c r="F77" s="14" t="inlineStr">
        <is>
          <t>قيد closing بربح 3,000 يصفّر الإيراد والمصروف ويرحّله إلى 3201. قائمة الدخل تبقى تُظهر الربح والميزانية متوازنة. القيد الجديد في السنة المقفلة مرفوض</t>
        </is>
      </c>
      <c r="G77" s="13" t="inlineStr">
        <is>
          <t>P1</t>
        </is>
      </c>
      <c r="H77" s="14" t="inlineStr">
        <is>
          <t>وظيفي</t>
        </is>
      </c>
      <c r="I77" s="13" t="inlineStr">
        <is>
          <t>لم يُختبر</t>
        </is>
      </c>
      <c r="J77" s="14" t="n"/>
      <c r="K77" s="13" t="n"/>
      <c r="L77" s="14" t="n"/>
    </row>
    <row r="78">
      <c r="A78" s="13" t="inlineStr">
        <is>
          <t>TC-E-077</t>
        </is>
      </c>
      <c r="B78" s="14" t="inlineStr">
        <is>
          <t>الإقفال وحزمة المراجع</t>
        </is>
      </c>
      <c r="C78" s="15" t="inlineStr">
        <is>
          <t>لا تُقفل السنة الحالية قبل السابقة</t>
        </is>
      </c>
      <c r="D78" s="14" t="inlineStr">
        <is>
          <t>سنة سابقة مفتوحة</t>
        </is>
      </c>
      <c r="E78" s="14" t="inlineStr">
        <is>
          <t>1. افتح السنوات المالية</t>
        </is>
      </c>
      <c r="F78" s="14" t="inlineStr">
        <is>
          <t>سنة لاحقة تظهر بسبب «أقفل السنة السابقة أولًا» ولا يمكن إقفالها</t>
        </is>
      </c>
      <c r="G78" s="13" t="inlineStr">
        <is>
          <t>P1</t>
        </is>
      </c>
      <c r="H78" s="14" t="inlineStr">
        <is>
          <t>حالات حدّية</t>
        </is>
      </c>
      <c r="I78" s="13" t="inlineStr">
        <is>
          <t>لم يُختبر</t>
        </is>
      </c>
      <c r="J78" s="14" t="n"/>
      <c r="K78" s="13" t="n"/>
      <c r="L78" s="14" t="n"/>
    </row>
    <row r="79">
      <c r="A79" s="13" t="inlineStr">
        <is>
          <t>TC-E-078</t>
        </is>
      </c>
      <c r="B79" s="14" t="inlineStr">
        <is>
          <t>الإقفال وحزمة المراجع</t>
        </is>
      </c>
      <c r="C79" s="15" t="inlineStr">
        <is>
          <t>فتح السنة المقفلة للمالك فقط ويعكس قيد الإقفال مرة واحدة</t>
        </is>
      </c>
      <c r="D79" s="14" t="inlineStr">
        <is>
          <t>سنة مقفلة</t>
        </is>
      </c>
      <c r="E79" s="14" t="inlineStr">
        <is>
          <t>1. بدور المدير اضغط «إعادة فتح»
2. بدور المالك بسبب</t>
        </is>
      </c>
      <c r="F79" s="14" t="inlineStr">
        <is>
          <t>المدير 403. المالك: يُعكس قيد الإقفال مرة واحدة وتعود الأرصدة ويصبح حالة السنة open</t>
        </is>
      </c>
      <c r="G79" s="13" t="inlineStr">
        <is>
          <t>P1</t>
        </is>
      </c>
      <c r="H79" s="14" t="inlineStr">
        <is>
          <t>صلاحيات</t>
        </is>
      </c>
      <c r="I79" s="13" t="inlineStr">
        <is>
          <t>لم يُختبر</t>
        </is>
      </c>
      <c r="J79" s="14" t="n"/>
      <c r="K79" s="13" t="n"/>
      <c r="L79" s="14" t="n"/>
    </row>
    <row r="80">
      <c r="A80" s="13" t="inlineStr">
        <is>
          <t>TC-E-079</t>
        </is>
      </c>
      <c r="B80" s="14" t="inlineStr">
        <is>
          <t>الإقفال وحزمة المراجع</t>
        </is>
      </c>
      <c r="C80" s="15" t="inlineStr">
        <is>
          <t>حزمة المراجع (zip) للمالك والمدير العام فقط</t>
        </is>
      </c>
      <c r="D80" s="14" t="inlineStr">
        <is>
          <t>سنة بها بيانات</t>
        </is>
      </c>
      <c r="E80" s="14" t="inlineStr">
        <is>
          <t>1. بدور المحاسب حمّل الحزمة
2. بدور المدير حمّلها
3. افتح الملف المضغوط</t>
        </is>
      </c>
      <c r="F80" s="14" t="inlineStr">
        <is>
          <t>المحاسب 403. الحزمة تضم كل القوائم وملف manifest وسجل التدقيق وسجل الفواتير الإلكترونية، وكلها بأرقام تطابق التقارير</t>
        </is>
      </c>
      <c r="G80" s="13" t="inlineStr">
        <is>
          <t>P1</t>
        </is>
      </c>
      <c r="H80" s="14" t="inlineStr">
        <is>
          <t>صلاحيات</t>
        </is>
      </c>
      <c r="I80" s="13" t="inlineStr">
        <is>
          <t>لم يُختبر</t>
        </is>
      </c>
      <c r="J80" s="14" t="n"/>
      <c r="K80" s="13" t="n"/>
      <c r="L80" s="14" t="n"/>
    </row>
    <row r="81">
      <c r="A81" s="13" t="inlineStr">
        <is>
          <t>TC-E-080</t>
        </is>
      </c>
      <c r="B81" s="14" t="inlineStr">
        <is>
          <t>الفوترة الإلكترونية (ZATCA)</t>
        </is>
      </c>
      <c r="C81" s="15" t="inlineStr">
        <is>
          <t>الشاشة والتفعيل خلف الصلاحيات ولا يُفعَّل قبل الاكتمال</t>
        </is>
      </c>
      <c r="D81" s="14" t="inlineStr">
        <is>
          <t>شركة غير مجهّزة؛ مستخدم بلا einvoice.manage</t>
        </is>
      </c>
      <c r="E81" s="14" t="inlineStr">
        <is>
          <t>1. افتح /accounting/einvoice
2. حاول التفعيل بدون وحدة EGS</t>
        </is>
      </c>
      <c r="F81" s="14" t="inlineStr">
        <is>
          <t>القراءة لمن لديه ledger.read، والإدارة (إنشاء وحدات/تفعيل) لـ einvoice.manage فقط. التفعيل مرفوض مع قائمة نواقص: التسجيل الضريبي، هوية البائع، وحدة بشهادة إنتاج، عدم ربط ERPNext</t>
        </is>
      </c>
      <c r="G81" s="13" t="inlineStr">
        <is>
          <t>P1</t>
        </is>
      </c>
      <c r="H81" s="14" t="inlineStr">
        <is>
          <t>صلاحيات</t>
        </is>
      </c>
      <c r="I81" s="13" t="inlineStr">
        <is>
          <t>لم يُختبر</t>
        </is>
      </c>
      <c r="J81" s="14" t="n"/>
      <c r="K81" s="13" t="n"/>
      <c r="L81" s="14" t="n"/>
    </row>
    <row r="82">
      <c r="A82" s="13" t="inlineStr">
        <is>
          <t>TC-E-081</t>
        </is>
      </c>
      <c r="B82" s="14" t="inlineStr">
        <is>
          <t>الفوترة الإلكترونية (ZATCA)</t>
        </is>
      </c>
      <c r="C82" s="15" t="inlineStr">
        <is>
          <t>سُلَّم الإعداد: وحدة ← CSR وOTP ← فحوص الامتثال ← شهادة الإنتاج</t>
        </is>
      </c>
      <c r="D82" s="14" t="inlineStr">
        <is>
          <t>هوية الشركة مكتملة (اسم، رقم ضريبي، سجل، عنوان وطني)</t>
        </is>
      </c>
      <c r="E82" s="14" t="inlineStr">
        <is>
          <t>1. أنشئ وحدة EGS واختر البيئة
2. ولّد الـ CSR وأدخل رمز OTP من بوابة فاتورة
3. شغّل فحوص الامتثال (6 مستندات)
4. اطلب شهادة الإنتاج</t>
        </is>
      </c>
      <c r="F82" s="14" t="inlineStr">
        <is>
          <t>تتقدم الحالة: csr_generated ← compliance_csid ← compliance_passed ← production. المفتاح الخاص لا يظهر في أي شاشة أو استجابة</t>
        </is>
      </c>
      <c r="G82" s="13" t="inlineStr">
        <is>
          <t>P1</t>
        </is>
      </c>
      <c r="H82" s="14" t="inlineStr">
        <is>
          <t>وظيفي</t>
        </is>
      </c>
      <c r="I82" s="13" t="inlineStr">
        <is>
          <t>لم يُختبر</t>
        </is>
      </c>
      <c r="J82" s="14" t="n"/>
      <c r="K82" s="13" t="n"/>
      <c r="L82" s="14" t="n"/>
    </row>
    <row r="83">
      <c r="A83" s="13" t="inlineStr">
        <is>
          <t>TC-E-082</t>
        </is>
      </c>
      <c r="B83" s="14" t="inlineStr">
        <is>
          <t>الفوترة الإلكترونية (ZATCA)</t>
        </is>
      </c>
      <c r="C83" s="15" t="inlineStr">
        <is>
          <t>وحدة حيّة واحدة فقط</t>
        </is>
      </c>
      <c r="D83" s="14" t="inlineStr">
        <is>
          <t>وحدة أولى حيّة بشهادة إنتاج</t>
        </is>
      </c>
      <c r="E83" s="14" t="inlineStr">
        <is>
          <t>1. أنشئ وحدة ثانية بيئة محاكاة وأدخل OTP وشغّل فحوص الامتثال
2. اطلب شهادة الإنتاج للوحدة الثانية
3. ألغِ الوحدة الثانية بسبب</t>
        </is>
      </c>
      <c r="F83" s="14" t="inlineStr">
        <is>
          <t>طلب الإنتاج مرفوض 409 لأن وحدة أخرى حيّة؛ والإلغاء ينجح ويبقى التوقيع على الأولى</t>
        </is>
      </c>
      <c r="G83" s="13" t="inlineStr">
        <is>
          <t>P1</t>
        </is>
      </c>
      <c r="H83" s="14" t="inlineStr">
        <is>
          <t>حالات حدّية</t>
        </is>
      </c>
      <c r="I83" s="13" t="inlineStr">
        <is>
          <t>لم يُختبر</t>
        </is>
      </c>
      <c r="J83" s="14" t="n"/>
      <c r="K83" s="13" t="n"/>
      <c r="L83" s="14" t="n"/>
    </row>
    <row r="84">
      <c r="A84" s="13" t="inlineStr">
        <is>
          <t>TC-E-083</t>
        </is>
      </c>
      <c r="B84" s="14" t="inlineStr">
        <is>
          <t>الفوترة الإلكترونية (ZATCA)</t>
        </is>
      </c>
      <c r="C84" s="15" t="inlineStr">
        <is>
          <t>تجربة الصندوق الرملي من الشاشة</t>
        </is>
      </c>
      <c r="D84" s="14" t="inlineStr">
        <is>
          <t>اتصال بالإنترنت؛ بيئة المطوّرين</t>
        </is>
      </c>
      <c r="E84" s="14" t="inlineStr">
        <is>
          <t>1. افتح تبويب «وحدات الإصدار والتهيئة» واضغط «تشغيل التجربة»</t>
        </is>
      </c>
      <c r="F84" s="14" t="inlineStr">
        <is>
          <t>تمر العملية حتى شهادة الإنتاج على بوابة المطوّرين باستخدام هوية ZATCA التجريبية ورمز 123345 فقط، ولا تُرسَل بيانات الشركة</t>
        </is>
      </c>
      <c r="G84" s="13" t="inlineStr">
        <is>
          <t>P2</t>
        </is>
      </c>
      <c r="H84" s="14" t="inlineStr">
        <is>
          <t>تكامل</t>
        </is>
      </c>
      <c r="I84" s="13" t="inlineStr">
        <is>
          <t>لم يُختبر</t>
        </is>
      </c>
      <c r="J84" s="14" t="n"/>
      <c r="K84" s="13" t="n"/>
      <c r="L84" s="14" t="n"/>
    </row>
    <row r="85">
      <c r="A85" s="13" t="inlineStr">
        <is>
          <t>TC-E-084</t>
        </is>
      </c>
      <c r="B85" s="14" t="inlineStr">
        <is>
          <t>الفوترة الإلكترونية (ZATCA)</t>
        </is>
      </c>
      <c r="C85" s="15" t="inlineStr">
        <is>
          <t>كل فاتورة تُوقَّع بسلسلة ICV / PIH بلا فجوات</t>
        </is>
      </c>
      <c r="D85" s="14" t="inlineStr">
        <is>
          <t>تفعيل ووحدة حيّة؛ ثلاث فواتير</t>
        </is>
      </c>
      <c r="E85" s="14" t="inlineStr">
        <is>
          <t>1. أصدر ثلاث فواتير متتالية
2. افتح سجل المستندات
3. اضغط «فحص السلسلة» (ledger.close)</t>
        </is>
      </c>
      <c r="F85" s="14" t="inlineStr">
        <is>
          <t>ICV يتزايد 1,2,3 بلا فجوة وPIH كل مستند = هاش السابق (الأول بالقيمة الأولية)، والتحقق ينجح. كل مستند UUID فريد وQR موقّع</t>
        </is>
      </c>
      <c r="G85" s="13" t="inlineStr">
        <is>
          <t>P1</t>
        </is>
      </c>
      <c r="H85" s="14" t="inlineStr">
        <is>
          <t>وظيفي</t>
        </is>
      </c>
      <c r="I85" s="13" t="inlineStr">
        <is>
          <t>لم يُختبر</t>
        </is>
      </c>
      <c r="J85" s="14" t="n"/>
      <c r="K85" s="13" t="n"/>
      <c r="L85" s="14" t="n"/>
    </row>
    <row r="86">
      <c r="A86" s="13" t="inlineStr">
        <is>
          <t>TC-E-085</t>
        </is>
      </c>
      <c r="B86" s="14" t="inlineStr">
        <is>
          <t>الفوترة الإلكترونية (ZATCA)</t>
        </is>
      </c>
      <c r="C86" s="15" t="inlineStr">
        <is>
          <t>الفاتورة النهائية تحمل الدفعات المقدمة كما تشترط ZATCA</t>
        </is>
      </c>
      <c r="D86" s="14" t="inlineStr">
        <is>
          <t>عقد بدفعتين مقدمتين</t>
        </is>
      </c>
      <c r="E86" s="14" t="inlineStr">
        <is>
          <t>1. أصدر الفاتورة النهائية 388
2. نزّل XML من السجل</t>
        </is>
      </c>
      <c r="F86" s="14" t="inlineStr">
        <is>
          <t>سطر بكمية صفر لكل دفعة مقدمة مع المرجع (الرقم، UUID، التاريخ، الوقت، النوع 386) وضريبته وPrepaidAmount، والإجمالي المستحق صحيح</t>
        </is>
      </c>
      <c r="G86" s="13" t="inlineStr">
        <is>
          <t>P1</t>
        </is>
      </c>
      <c r="H86" s="14" t="inlineStr">
        <is>
          <t>تكامل</t>
        </is>
      </c>
      <c r="I86" s="13" t="inlineStr">
        <is>
          <t>لم يُختبر</t>
        </is>
      </c>
      <c r="J86" s="14" t="n"/>
      <c r="K86" s="13" t="n"/>
      <c r="L86" s="14" t="n"/>
    </row>
    <row r="87">
      <c r="A87" s="13" t="inlineStr">
        <is>
          <t>TC-E-086</t>
        </is>
      </c>
      <c r="B87" s="14" t="inlineStr">
        <is>
          <t>الفوترة الإلكترونية (ZATCA)</t>
        </is>
      </c>
      <c r="C87" s="15" t="inlineStr">
        <is>
          <t>الفاتورة القياسية لا تُشارَك قبل الاعتماد (clearance)</t>
        </is>
      </c>
      <c r="D87" s="14" t="inlineStr">
        <is>
          <t>فاتورة B2B مصدرة ولم تُعتمد بعد</t>
        </is>
      </c>
      <c r="E87" s="14" t="inlineStr">
        <is>
          <t>1. حاول تنزيل PDF الفاتورة
2. افتح الفاتورة في بوابة العميل</t>
        </is>
      </c>
      <c r="F87" s="14" t="inlineStr">
        <is>
          <t>PDF مرفوض 409 «بانتظار اعتماد ZATCA»، والبوابة لا تعرض رمز QR ولا PDF وتُظهر حالة awaitingClearance</t>
        </is>
      </c>
      <c r="G87" s="13" t="inlineStr">
        <is>
          <t>P1</t>
        </is>
      </c>
      <c r="H87" s="14" t="inlineStr">
        <is>
          <t>أمان</t>
        </is>
      </c>
      <c r="I87" s="13" t="inlineStr">
        <is>
          <t>لم يُختبر</t>
        </is>
      </c>
      <c r="J87" s="14" t="n"/>
      <c r="K87" s="13" t="n"/>
      <c r="L87" s="14" t="n"/>
    </row>
    <row r="88">
      <c r="A88" s="13" t="inlineStr">
        <is>
          <t>TC-E-087</t>
        </is>
      </c>
      <c r="B88" s="14" t="inlineStr">
        <is>
          <t>الفوترة الإلكترونية (ZATCA)</t>
        </is>
      </c>
      <c r="C88" s="15" t="inlineStr">
        <is>
          <t>الاعتماد بترتيب ICV ويستبدل الـ QR المطبوع بالمختوم</t>
        </is>
      </c>
      <c r="D88" s="14" t="inlineStr">
        <is>
          <t>ثلاث فواتير قياسية مصدرة</t>
        </is>
      </c>
      <c r="E88" s="14" t="inlineStr">
        <is>
          <t>1. اضغط «إرسال المعلّق الآن» أو انتظر دورة الدقيقتين
2. قارن QR قبل وبعد</t>
        </is>
      </c>
      <c r="F88" s="14" t="inlineStr">
        <is>
          <t>تُرسَل بترتيب ICV وتصبح cleared، ويُخزَّن XML المعتمد من ZATCA، ويصير QR الفاتورة هو المختوم من ZATCA ويحلّ PDF</t>
        </is>
      </c>
      <c r="G88" s="13" t="inlineStr">
        <is>
          <t>P1</t>
        </is>
      </c>
      <c r="H88" s="14" t="inlineStr">
        <is>
          <t>تكامل</t>
        </is>
      </c>
      <c r="I88" s="13" t="inlineStr">
        <is>
          <t>لم يُختبر</t>
        </is>
      </c>
      <c r="J88" s="14" t="n"/>
      <c r="K88" s="13" t="n"/>
      <c r="L88" s="14" t="n"/>
    </row>
    <row r="89">
      <c r="A89" s="13" t="inlineStr">
        <is>
          <t>TC-E-088</t>
        </is>
      </c>
      <c r="B89" s="14" t="inlineStr">
        <is>
          <t>الفوترة الإلكترونية (ZATCA)</t>
        </is>
      </c>
      <c r="C89" s="15" t="inlineStr">
        <is>
          <t>الإشعار الدائن يشير للفاتورة ويحمل السبب؛ البسيطة تُبلَّغ والقياسية تُعتمد</t>
        </is>
      </c>
      <c r="D89" s="14" t="inlineStr">
        <is>
          <t>فاتورة قياسية معتمدة وأخرى مبسطة</t>
        </is>
      </c>
      <c r="E89" s="14" t="inlineStr">
        <is>
          <t>1. أصدر إشعار دائن على كل منهما بسبب
2. افتح XML الإشعار</t>
        </is>
      </c>
      <c r="F89" s="14" t="inlineStr">
        <is>
          <t>BillingReference للفاتورة الأصلية وInstructionNote بالسبب والمبالغ موجبة والجذر Invoice (لا CreditNote). القياسي يُعتمد والمبسط يُبلَّغ خلال 24 ساعة</t>
        </is>
      </c>
      <c r="G89" s="13" t="inlineStr">
        <is>
          <t>P1</t>
        </is>
      </c>
      <c r="H89" s="14" t="inlineStr">
        <is>
          <t>تكامل</t>
        </is>
      </c>
      <c r="I89" s="13" t="inlineStr">
        <is>
          <t>لم يُختبر</t>
        </is>
      </c>
      <c r="J89" s="14" t="n"/>
      <c r="K89" s="13" t="n"/>
      <c r="L89" s="14" t="n"/>
    </row>
    <row r="90">
      <c r="A90" s="13" t="inlineStr">
        <is>
          <t>TC-E-089</t>
        </is>
      </c>
      <c r="B90" s="14" t="inlineStr">
        <is>
          <t>الفوترة الإلكترونية (ZATCA)</t>
        </is>
      </c>
      <c r="C90" s="15" t="inlineStr">
        <is>
          <t>انقطاع ZATCA أو رفض مستند لا يكسر السلسلة</t>
        </is>
      </c>
      <c r="D90" s="14" t="inlineStr">
        <is>
          <t>بوابة ZATCA غير متاحة ثم ترفض مستندًا</t>
        </is>
      </c>
      <c r="E90" s="14" t="inlineStr">
        <is>
          <t>1. أصدر فاتورتين أثناء الانقطاع
2. أعد الاتصال وأرسل
3. ارفض مستندًا واحدًا واضغط «إعادة إصدار»</t>
        </is>
      </c>
      <c r="F90" s="14" t="inlineStr">
        <is>
          <t>المستندات تبقى pending وتُرسَل لاحقًا بالترتيب (أخطاء 5xx مؤقتة). المرفوض يُعاد إصداره بـ ICV وUUID جديدين ويُعلَّم القديم superseded ولا تنكسر السلسلة</t>
        </is>
      </c>
      <c r="G90" s="13" t="inlineStr">
        <is>
          <t>P1</t>
        </is>
      </c>
      <c r="H90" s="14" t="inlineStr">
        <is>
          <t>حالات حدّية</t>
        </is>
      </c>
      <c r="I90" s="13" t="inlineStr">
        <is>
          <t>لم يُختبر</t>
        </is>
      </c>
      <c r="J90" s="14" t="n"/>
      <c r="K90" s="13" t="n"/>
      <c r="L90" s="14" t="n"/>
    </row>
    <row r="91">
      <c r="A91" s="13" t="inlineStr">
        <is>
          <t>TC-E-090</t>
        </is>
      </c>
      <c r="B91" s="14" t="inlineStr">
        <is>
          <t>الفوترة الإلكترونية (ZATCA)</t>
        </is>
      </c>
      <c r="C91" s="15" t="inlineStr">
        <is>
          <t>إصدار متزامن بلا فجوات في ICV</t>
        </is>
      </c>
      <c r="D91" s="14" t="inlineStr">
        <is>
          <t>عدة فواتير في اللحظة نفسها</t>
        </is>
      </c>
      <c r="E91" s="14" t="inlineStr">
        <is>
          <t>1. اعتمد عدة دفعات/فواتير بالتوازي</t>
        </is>
      </c>
      <c r="F91" s="14" t="inlineStr">
        <is>
          <t>ICV متصل بلا تكرار ولا فجوة، وكل فاتورة تُوقَّع مرة واحدة</t>
        </is>
      </c>
      <c r="G91" s="13" t="inlineStr">
        <is>
          <t>P1</t>
        </is>
      </c>
      <c r="H91" s="14" t="inlineStr">
        <is>
          <t>حالات حدّية</t>
        </is>
      </c>
      <c r="I91" s="13" t="inlineStr">
        <is>
          <t>لم يُختبر</t>
        </is>
      </c>
      <c r="J91" s="14" t="n"/>
      <c r="K91" s="13" t="n"/>
      <c r="L91" s="14" t="n"/>
    </row>
    <row r="92">
      <c r="A92" s="13" t="inlineStr">
        <is>
          <t>TC-E-091</t>
        </is>
      </c>
      <c r="B92" s="14" t="inlineStr">
        <is>
          <t>الفوترة الإلكترونية (ZATCA)</t>
        </is>
      </c>
      <c r="C92" s="15" t="inlineStr">
        <is>
          <t>فاتورة ببيانات عميل ترفضها ZATCA تُحجز حتى تُصحَّح</t>
        </is>
      </c>
      <c r="D92" s="14" t="inlineStr">
        <is>
          <t>عميل B2B بلا عنوان وطني كامل</t>
        </is>
      </c>
      <c r="E92" s="14" t="inlineStr">
        <is>
          <t>1. أصدر الفاتورة
2. افتح /accounting/einvoice تبويب «فواتير موقوفة»
3. أكمل عنوان العميل وأعد المحاولة</t>
        </is>
      </c>
      <c r="F92" s="14" t="inlineStr">
        <is>
          <t>تُحجز الفاتورة مع سبب (einvoice_error) ولا تُشارَك ولا يُستهلك ICV؛ بعد الإصلاح تُصدَر وتُوقَّع</t>
        </is>
      </c>
      <c r="G92" s="13" t="inlineStr">
        <is>
          <t>P1</t>
        </is>
      </c>
      <c r="H92" s="14" t="inlineStr">
        <is>
          <t>تحقق من المدخلات</t>
        </is>
      </c>
      <c r="I92" s="13" t="inlineStr">
        <is>
          <t>لم يُختبر</t>
        </is>
      </c>
      <c r="J92" s="14" t="n"/>
      <c r="K92" s="13" t="n"/>
      <c r="L92" s="14" t="n"/>
    </row>
    <row r="93">
      <c r="A93" s="13" t="inlineStr">
        <is>
          <t>TC-E-092</t>
        </is>
      </c>
      <c r="B93" s="14" t="inlineStr">
        <is>
          <t>الفوترة الإلكترونية (ZATCA)</t>
        </is>
      </c>
      <c r="C93" s="15" t="inlineStr">
        <is>
          <t>فاتورة مبسطة B2C تُبلَّغ وتحمل الوسم 9 في QR</t>
        </is>
      </c>
      <c r="D93" s="14" t="inlineStr">
        <is>
          <t>عميل فرد (بلا رقم ضريبي)</t>
        </is>
      </c>
      <c r="E93" s="14" t="inlineStr">
        <is>
          <t>1. أصدر فاتورة لعميل فرد
2. أرسلها
3. افتح QR</t>
        </is>
      </c>
      <c r="F93" s="14" t="inlineStr">
        <is>
          <t>النوع مبسط وتُبلَّغ (reported)، ويحوي QR الوسوم 1–9 منها 9 (توقيع الشهادة) بخلاف القياسية</t>
        </is>
      </c>
      <c r="G93" s="13" t="inlineStr">
        <is>
          <t>P1</t>
        </is>
      </c>
      <c r="H93" s="14" t="inlineStr">
        <is>
          <t>تكامل</t>
        </is>
      </c>
      <c r="I93" s="13" t="inlineStr">
        <is>
          <t>لم يُختبر</t>
        </is>
      </c>
      <c r="J93" s="14" t="n"/>
      <c r="K93" s="13" t="n"/>
      <c r="L93" s="14" t="n"/>
    </row>
    <row r="94">
      <c r="A94" s="13" t="inlineStr">
        <is>
          <t>TC-E-093</t>
        </is>
      </c>
      <c r="B94" s="14" t="inlineStr">
        <is>
          <t>الفوترة الإلكترونية (ZATCA)</t>
        </is>
      </c>
      <c r="C94" s="15" t="inlineStr">
        <is>
          <t>المستند الموقّع لا يتغير في قاعدة البيانات والعدّاد لا ينقص</t>
        </is>
      </c>
      <c r="D94" s="14" t="inlineStr">
        <is>
          <t>وصول مهندس للقاعدة</t>
        </is>
      </c>
      <c r="E94" s="14" t="inlineStr">
        <is>
          <t>1. جرّب UPDATE على XML أو الهاش لمستند موقّع
2. جرّب DELETE
3. جرّب تقليل icv_counter للوحدة</t>
        </is>
      </c>
      <c r="F94" s="14" t="inlineStr">
        <is>
          <t>الكل يفشل (triggers من 0039): المستندات الموقّعة غير قابلة للتعديل ولا حذف، والعدّاد تصاعدي فقط</t>
        </is>
      </c>
      <c r="G94" s="13" t="inlineStr">
        <is>
          <t>P1</t>
        </is>
      </c>
      <c r="H94" s="14" t="inlineStr">
        <is>
          <t>أمان</t>
        </is>
      </c>
      <c r="I94" s="13" t="inlineStr">
        <is>
          <t>لم يُختبر</t>
        </is>
      </c>
      <c r="J94" s="14" t="n"/>
      <c r="K94" s="13" t="n"/>
      <c r="L94" s="14" t="n"/>
    </row>
    <row r="95">
      <c r="A95" s="13" t="inlineStr">
        <is>
          <t>TC-E-094</t>
        </is>
      </c>
      <c r="B95" s="14" t="inlineStr">
        <is>
          <t>الفوترة الإلكترونية (ZATCA)</t>
        </is>
      </c>
      <c r="C95" s="15" t="inlineStr">
        <is>
          <t>حزمة المراجع تحوي سجل الفواتير الإلكترونية وملفات XML</t>
        </is>
      </c>
      <c r="D95" s="14" t="inlineStr">
        <is>
          <t>مستندات موقّعة ومعتمدة</t>
        </is>
      </c>
      <c r="E95" s="14" t="inlineStr">
        <is>
          <t>1. حمّل حزمة المراجع
2. افتح 19-einvoice-register وإعداد einvoice-xml</t>
        </is>
      </c>
      <c r="F95" s="14" t="inlineStr">
        <is>
          <t>السجل يضم رقم الفاتورة وICV وUUID والحالة، وXML لكل مستند (والمعتمد منه بلاحقة -cleared)</t>
        </is>
      </c>
      <c r="G95" s="13" t="inlineStr">
        <is>
          <t>P2</t>
        </is>
      </c>
      <c r="H95" s="14" t="inlineStr">
        <is>
          <t>تكامل</t>
        </is>
      </c>
      <c r="I95" s="13" t="inlineStr">
        <is>
          <t>لم يُختبر</t>
        </is>
      </c>
      <c r="J95" s="14" t="n"/>
      <c r="K95" s="13" t="n"/>
      <c r="L95" s="14" t="n"/>
    </row>
    <row r="96">
      <c r="A96" s="13" t="inlineStr">
        <is>
          <t>TC-E-095</t>
        </is>
      </c>
      <c r="B96" s="14" t="inlineStr">
        <is>
          <t>الفوترة الإلكترونية (ZATCA)</t>
        </is>
      </c>
      <c r="C96" s="15" t="inlineStr">
        <is>
          <t>إيقاف التفعيل لا يوقّع مستندات جديدة</t>
        </is>
      </c>
      <c r="D96" s="14" t="inlineStr">
        <is>
          <t>تفعيل قائم</t>
        </is>
      </c>
      <c r="E96" s="14" t="inlineStr">
        <is>
          <t>1. أوقف «تفعيل الفوترة الإلكترونية»
2. أصدر فاتورة</t>
        </is>
      </c>
      <c r="F96" s="14" t="inlineStr">
        <is>
          <t>تبقى الفواتير بلا توقيع ولا يُستهلك ICV، وتبقى المستندات القديمة وحالتها كما هي</t>
        </is>
      </c>
      <c r="G96" s="13" t="inlineStr">
        <is>
          <t>P2</t>
        </is>
      </c>
      <c r="H96" s="14" t="inlineStr">
        <is>
          <t>حالات حدّية</t>
        </is>
      </c>
      <c r="I96" s="13" t="inlineStr">
        <is>
          <t>لم يُختبر</t>
        </is>
      </c>
      <c r="J96" s="14" t="n"/>
      <c r="K96" s="13" t="n"/>
      <c r="L96" s="14" t="n"/>
    </row>
    <row r="97">
      <c r="A97" s="13" t="inlineStr">
        <is>
          <t>TC-E-096</t>
        </is>
      </c>
      <c r="B97" s="14" t="inlineStr">
        <is>
          <t>الفوترة الإلكترونية (ZATCA)</t>
        </is>
      </c>
      <c r="C97" s="15" t="inlineStr">
        <is>
          <t>أرشيف PDF/A-3 مع XML مضمّن للفاتورة المعتمدة</t>
        </is>
      </c>
      <c r="D97" s="14" t="inlineStr">
        <is>
          <t>فاتورة معتمدة</t>
        </is>
      </c>
      <c r="E97" s="14" t="inlineStr">
        <is>
          <t>1. نزّل PDF الفاتورة
2. افتح خصائص الملف</t>
        </is>
      </c>
      <c r="F97" s="14" t="inlineStr">
        <is>
          <t>ملف PDF/A-3b يحتوي XML الفاتورة مضمّنًا كمرفق ويطابق رقم الفاتورة وUUID</t>
        </is>
      </c>
      <c r="G97" s="13" t="inlineStr">
        <is>
          <t>P2</t>
        </is>
      </c>
      <c r="H97" s="14" t="inlineStr">
        <is>
          <t>تكامل</t>
        </is>
      </c>
      <c r="I97" s="13" t="inlineStr">
        <is>
          <t>لم يُختبر</t>
        </is>
      </c>
      <c r="J97" s="14" t="n"/>
      <c r="K97" s="13" t="n"/>
      <c r="L97" s="14" t="n"/>
    </row>
    <row r="98">
      <c r="A98" s="13" t="inlineStr">
        <is>
          <t>TC-E-097</t>
        </is>
      </c>
      <c r="B98" s="14" t="inlineStr">
        <is>
          <t>الفوترة الإلكترونية (ZATCA)</t>
        </is>
      </c>
      <c r="C98" s="15" t="inlineStr">
        <is>
          <t>مفاتيح الوحدة وشهاداتها مشفّرة في القاعدة</t>
        </is>
      </c>
      <c r="D98" s="14" t="inlineStr">
        <is>
          <t>بيئة إنتاج</t>
        </is>
      </c>
      <c r="E98" s="14" t="inlineStr">
        <is>
          <t>1. افتح جدول einvoice_egs
2. اشغّل الـ API في الإنتاج بلا EINVOICE_KEY</t>
        </is>
      </c>
      <c r="F98" s="14" t="inlineStr">
        <is>
          <t>الأعمدة المخزّنة (private_key_enc, csid_enc…) مشفّرة AES-256-GCM لا نص صريح. بدء الإنتاج بلا المفتاح يفشل برسالة واضحة</t>
        </is>
      </c>
      <c r="G98" s="13" t="inlineStr">
        <is>
          <t>P1</t>
        </is>
      </c>
      <c r="H98" s="14" t="inlineStr">
        <is>
          <t>أمان</t>
        </is>
      </c>
      <c r="I98" s="13" t="inlineStr">
        <is>
          <t>لم يُختبر</t>
        </is>
      </c>
      <c r="J98" s="14" t="n"/>
      <c r="K98" s="13" t="n"/>
      <c r="L98" s="14" t="n"/>
    </row>
  </sheetData>
  <autoFilter ref="A1:L98"/>
  <conditionalFormatting sqref="A2:L98">
    <cfRule type="expression" priority="1" dxfId="0">
      <formula>$I2="ناجح"</formula>
    </cfRule>
    <cfRule type="expression" priority="2" dxfId="1">
      <formula>$I2="فاشل"</formula>
    </cfRule>
    <cfRule type="expression" priority="3" dxfId="2">
      <formula>$I2="محجوب"</formula>
    </cfRule>
  </conditionalFormatting>
  <conditionalFormatting sqref="G2:G98">
    <cfRule type="expression" priority="4" dxfId="3">
      <formula>$G2="P1"</formula>
    </cfRule>
  </conditionalFormatting>
  <dataValidations count="2">
    <dataValidation sqref="I2:I98" showDropDown="0" showInputMessage="0" showErrorMessage="0" allowBlank="0" type="list">
      <formula1>"لم يُختبر,ناجح,فاشل,محجوب"</formula1>
    </dataValidation>
    <dataValidation sqref="G2:G98" showDropDown="0" showInputMessage="0" showErrorMessage="0" allowBlank="0" type="list">
      <formula1>"P1,P2,P3"</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2026-10-08T10:57:23Z</dcterms:created>
  <dcterms:modified xmlns:dcterms="http://purl.org/dc/terms/" xmlns:xsi="http://www.w3.org/2001/XMLSchema-instance" xsi:type="dcterms:W3CDTF">2026-10-10T12:20:54Z</dcterms:modified>
</cp:coreProperties>
</file>